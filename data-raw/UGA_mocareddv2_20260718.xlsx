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gaelsola/code/mocaredd.dev2/data-raw/"/>
    </mc:Choice>
  </mc:AlternateContent>
  <xr:revisionPtr revIDLastSave="0" documentId="13_ncr:1_{37996CB8-D50B-7A48-96FF-FF06AC04783A}" xr6:coauthVersionLast="47" xr6:coauthVersionMax="47" xr10:uidLastSave="{00000000-0000-0000-0000-000000000000}"/>
  <bookViews>
    <workbookView xWindow="-29060" yWindow="9820" windowWidth="29060" windowHeight="18980" activeTab="2" xr2:uid="{00000000-000D-0000-FFFF-FFFF00000000}"/>
  </bookViews>
  <sheets>
    <sheet name="Instructions" sheetId="11" r:id="rId1"/>
    <sheet name="user_input_details" sheetId="1" r:id="rId2"/>
    <sheet name="setup" sheetId="2" r:id="rId3"/>
    <sheet name="time" sheetId="3" r:id="rId4"/>
    <sheet name="area" sheetId="4" r:id="rId5"/>
    <sheet name="carbon" sheetId="5" r:id="rId6"/>
    <sheet name="LU CLASS" sheetId="8" r:id="rId7"/>
    <sheet name="pivot-prepa EFRF" sheetId="14" r:id="rId8"/>
    <sheet name="CALC EFRF" sheetId="13" r:id="rId9"/>
    <sheet name="CALC E" sheetId="12" r:id="rId10"/>
    <sheet name="CALC ERRs" sheetId="15" r:id="rId11"/>
  </sheets>
  <definedNames>
    <definedName name="_xlnm._FilterDatabase" localSheetId="4" hidden="1">area!$A$1:$K$74</definedName>
    <definedName name="_xlnm._FilterDatabase" localSheetId="5" hidden="1">carbon!$A$1:$K$35</definedName>
    <definedName name="ci_alpha">#REF!</definedName>
    <definedName name="conf_level">#REF!</definedName>
    <definedName name="n_iter">#REF!</definedName>
    <definedName name="year_mon">#REF!</definedName>
    <definedName name="year_ref">#REF!</definedName>
  </definedNames>
  <calcPr calcId="191028"/>
  <pivotCaches>
    <pivotCache cacheId="17" r:id="rId12"/>
    <pivotCache cacheId="18"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8" i="15" l="1"/>
  <c r="O9" i="15"/>
  <c r="N5" i="15"/>
  <c r="N6" i="15"/>
  <c r="N7" i="15"/>
  <c r="N8" i="15"/>
  <c r="N9" i="15"/>
  <c r="N10" i="15"/>
  <c r="O10" i="15" s="1"/>
  <c r="N11" i="15"/>
  <c r="O11" i="15" s="1"/>
  <c r="N4" i="15"/>
  <c r="I16" i="15" s="1" a="1"/>
  <c r="I16" i="15" s="1"/>
  <c r="M5" i="15"/>
  <c r="M6" i="15"/>
  <c r="O6" i="15" s="1"/>
  <c r="M7" i="15"/>
  <c r="O7" i="15" s="1"/>
  <c r="M8" i="15"/>
  <c r="M9" i="15"/>
  <c r="M10" i="15"/>
  <c r="M11" i="15"/>
  <c r="M4" i="15"/>
  <c r="Q10" i="12"/>
  <c r="P6" i="12"/>
  <c r="P7" i="12"/>
  <c r="P8" i="12"/>
  <c r="P10" i="12"/>
  <c r="P13" i="12"/>
  <c r="P14" i="12"/>
  <c r="P20" i="12"/>
  <c r="P22" i="12"/>
  <c r="P25" i="12"/>
  <c r="P30" i="12"/>
  <c r="P32" i="12"/>
  <c r="P34" i="12"/>
  <c r="P37" i="12"/>
  <c r="P38" i="12"/>
  <c r="P43" i="12"/>
  <c r="P44" i="12"/>
  <c r="P45" i="12"/>
  <c r="P55" i="12"/>
  <c r="P56" i="12"/>
  <c r="P58" i="12"/>
  <c r="P61" i="12"/>
  <c r="P62" i="12"/>
  <c r="P68" i="12"/>
  <c r="P70" i="12"/>
  <c r="P73" i="12"/>
  <c r="O6" i="12"/>
  <c r="Q6" i="12" s="1"/>
  <c r="O7" i="12"/>
  <c r="O8" i="12"/>
  <c r="Q8" i="12" s="1"/>
  <c r="O10" i="12"/>
  <c r="O13" i="12"/>
  <c r="Q13" i="12" s="1"/>
  <c r="O14" i="12"/>
  <c r="Q14" i="12" s="1"/>
  <c r="O20" i="12"/>
  <c r="Q20" i="12" s="1"/>
  <c r="O21" i="12"/>
  <c r="Q21" i="12" s="1"/>
  <c r="O22" i="12"/>
  <c r="Q22" i="12" s="1"/>
  <c r="O25" i="12"/>
  <c r="Q25" i="12" s="1"/>
  <c r="O30" i="12"/>
  <c r="Q30" i="12" s="1"/>
  <c r="O32" i="12"/>
  <c r="O34" i="12"/>
  <c r="Q34" i="12" s="1"/>
  <c r="O37" i="12"/>
  <c r="Q37" i="12" s="1"/>
  <c r="O38" i="12"/>
  <c r="Q38" i="12" s="1"/>
  <c r="O43" i="12"/>
  <c r="Q43" i="12" s="1"/>
  <c r="O44" i="12"/>
  <c r="O45" i="12"/>
  <c r="Q45" i="12" s="1"/>
  <c r="O55" i="12"/>
  <c r="O56" i="12"/>
  <c r="O58" i="12"/>
  <c r="Q58" i="12" s="1"/>
  <c r="O61" i="12"/>
  <c r="Q61" i="12" s="1"/>
  <c r="O62" i="12"/>
  <c r="Q62" i="12" s="1"/>
  <c r="O68" i="12"/>
  <c r="O70" i="12"/>
  <c r="O73" i="12"/>
  <c r="Q73" i="12" s="1"/>
  <c r="N8" i="12"/>
  <c r="N9" i="12"/>
  <c r="N20" i="12"/>
  <c r="N21" i="12"/>
  <c r="N22" i="12"/>
  <c r="N41" i="12"/>
  <c r="N42" i="12"/>
  <c r="N43" i="12"/>
  <c r="N54" i="12"/>
  <c r="A2" i="12"/>
  <c r="B2" i="12"/>
  <c r="P2" i="12" s="1"/>
  <c r="C2" i="12"/>
  <c r="D2" i="12"/>
  <c r="E2" i="12"/>
  <c r="F2" i="12"/>
  <c r="G2" i="12"/>
  <c r="H2" i="12"/>
  <c r="I2" i="12"/>
  <c r="J2" i="12"/>
  <c r="K2" i="12"/>
  <c r="L2" i="12"/>
  <c r="A3" i="12"/>
  <c r="B3" i="12"/>
  <c r="N3" i="12" s="1"/>
  <c r="C3" i="12"/>
  <c r="D3" i="12"/>
  <c r="E3" i="12"/>
  <c r="F3" i="12"/>
  <c r="G3" i="12"/>
  <c r="H3" i="12"/>
  <c r="I3" i="12"/>
  <c r="J3" i="12"/>
  <c r="K3" i="12"/>
  <c r="L3" i="12"/>
  <c r="A4" i="12"/>
  <c r="B4" i="12"/>
  <c r="N4" i="12" s="1"/>
  <c r="C4" i="12"/>
  <c r="D4" i="12"/>
  <c r="E4" i="12"/>
  <c r="F4" i="12"/>
  <c r="G4" i="12"/>
  <c r="H4" i="12"/>
  <c r="I4" i="12"/>
  <c r="J4" i="12"/>
  <c r="K4" i="12"/>
  <c r="A5" i="12"/>
  <c r="B5" i="12"/>
  <c r="N5" i="12" s="1"/>
  <c r="C5" i="12"/>
  <c r="D5" i="12"/>
  <c r="E5" i="12"/>
  <c r="F5" i="12"/>
  <c r="R5" i="12" s="1"/>
  <c r="G5" i="12"/>
  <c r="H5" i="12"/>
  <c r="I5" i="12"/>
  <c r="J5" i="12"/>
  <c r="K5" i="12"/>
  <c r="A6" i="12"/>
  <c r="B6" i="12"/>
  <c r="N6" i="12" s="1"/>
  <c r="C6" i="12"/>
  <c r="D6" i="12"/>
  <c r="E6" i="12"/>
  <c r="F6" i="12"/>
  <c r="G6" i="12"/>
  <c r="H6" i="12"/>
  <c r="I6" i="12"/>
  <c r="J6" i="12"/>
  <c r="K6" i="12"/>
  <c r="A7" i="12"/>
  <c r="B7" i="12"/>
  <c r="N7" i="12" s="1"/>
  <c r="Q7" i="12" s="1"/>
  <c r="C7" i="12"/>
  <c r="D7" i="12"/>
  <c r="E7" i="12"/>
  <c r="F7" i="12"/>
  <c r="R7" i="12" s="1"/>
  <c r="G7" i="12"/>
  <c r="H7" i="12"/>
  <c r="I7" i="12"/>
  <c r="J7" i="12"/>
  <c r="K7" i="12"/>
  <c r="A8" i="12"/>
  <c r="B8" i="12"/>
  <c r="C8" i="12"/>
  <c r="D8" i="12"/>
  <c r="E8" i="12"/>
  <c r="F8" i="12"/>
  <c r="R8" i="12" s="1"/>
  <c r="G8" i="12"/>
  <c r="H8" i="12"/>
  <c r="I8" i="12"/>
  <c r="J8" i="12"/>
  <c r="K8" i="12"/>
  <c r="A9" i="12"/>
  <c r="B9" i="12"/>
  <c r="P9" i="12" s="1"/>
  <c r="C9" i="12"/>
  <c r="D9" i="12"/>
  <c r="E9" i="12"/>
  <c r="F9" i="12"/>
  <c r="G9" i="12"/>
  <c r="H9" i="12"/>
  <c r="I9" i="12"/>
  <c r="J9" i="12"/>
  <c r="K9" i="12"/>
  <c r="A10" i="12"/>
  <c r="B10" i="12"/>
  <c r="N10" i="12" s="1"/>
  <c r="C10" i="12"/>
  <c r="D10" i="12"/>
  <c r="E10" i="12"/>
  <c r="F10" i="12"/>
  <c r="G10" i="12"/>
  <c r="H10" i="12"/>
  <c r="I10" i="12"/>
  <c r="J10" i="12"/>
  <c r="K10" i="12"/>
  <c r="L10" i="12"/>
  <c r="A11" i="12"/>
  <c r="B11" i="12"/>
  <c r="N11" i="12" s="1"/>
  <c r="C11" i="12"/>
  <c r="D11" i="12"/>
  <c r="E11" i="12"/>
  <c r="F11" i="12"/>
  <c r="R11" i="12" s="1"/>
  <c r="G11" i="12"/>
  <c r="H11" i="12"/>
  <c r="I11" i="12"/>
  <c r="J11" i="12"/>
  <c r="K11" i="12"/>
  <c r="L11" i="12"/>
  <c r="A12" i="12"/>
  <c r="B12" i="12"/>
  <c r="N12" i="12" s="1"/>
  <c r="C12" i="12"/>
  <c r="D12" i="12"/>
  <c r="E12" i="12"/>
  <c r="F12" i="12"/>
  <c r="R12" i="12" s="1"/>
  <c r="G12" i="12"/>
  <c r="H12" i="12"/>
  <c r="I12" i="12"/>
  <c r="J12" i="12"/>
  <c r="K12" i="12"/>
  <c r="A13" i="12"/>
  <c r="B13" i="12"/>
  <c r="N13" i="12" s="1"/>
  <c r="C13" i="12"/>
  <c r="D13" i="12"/>
  <c r="E13" i="12"/>
  <c r="F13" i="12"/>
  <c r="R13" i="12" s="1"/>
  <c r="G13" i="12"/>
  <c r="H13" i="12"/>
  <c r="I13" i="12"/>
  <c r="J13" i="12"/>
  <c r="K13" i="12"/>
  <c r="A14" i="12"/>
  <c r="B14" i="12"/>
  <c r="N14" i="12" s="1"/>
  <c r="C14" i="12"/>
  <c r="D14" i="12"/>
  <c r="E14" i="12"/>
  <c r="F14" i="12"/>
  <c r="G14" i="12"/>
  <c r="H14" i="12"/>
  <c r="I14" i="12"/>
  <c r="J14" i="12"/>
  <c r="K14" i="12"/>
  <c r="A15" i="12"/>
  <c r="B15" i="12"/>
  <c r="N15" i="12" s="1"/>
  <c r="C15" i="12"/>
  <c r="D15" i="12"/>
  <c r="E15" i="12"/>
  <c r="F15" i="12"/>
  <c r="G15" i="12"/>
  <c r="H15" i="12"/>
  <c r="I15" i="12"/>
  <c r="J15" i="12"/>
  <c r="K15" i="12"/>
  <c r="L15" i="12"/>
  <c r="A16" i="12"/>
  <c r="B16" i="12"/>
  <c r="N16" i="12" s="1"/>
  <c r="C16" i="12"/>
  <c r="D16" i="12"/>
  <c r="E16" i="12"/>
  <c r="F16" i="12"/>
  <c r="G16" i="12"/>
  <c r="H16" i="12"/>
  <c r="I16" i="12"/>
  <c r="J16" i="12"/>
  <c r="K16" i="12"/>
  <c r="A17" i="12"/>
  <c r="B17" i="12"/>
  <c r="N17" i="12" s="1"/>
  <c r="C17" i="12"/>
  <c r="D17" i="12"/>
  <c r="E17" i="12"/>
  <c r="F17" i="12"/>
  <c r="G17" i="12"/>
  <c r="H17" i="12"/>
  <c r="I17" i="12"/>
  <c r="J17" i="12"/>
  <c r="K17" i="12"/>
  <c r="A18" i="12"/>
  <c r="B18" i="12"/>
  <c r="N18" i="12" s="1"/>
  <c r="C18" i="12"/>
  <c r="D18" i="12"/>
  <c r="E18" i="12"/>
  <c r="F18" i="12"/>
  <c r="G18" i="12"/>
  <c r="H18" i="12"/>
  <c r="I18" i="12"/>
  <c r="J18" i="12"/>
  <c r="K18" i="12"/>
  <c r="A19" i="12"/>
  <c r="B19" i="12"/>
  <c r="N19" i="12" s="1"/>
  <c r="C19" i="12"/>
  <c r="D19" i="12"/>
  <c r="E19" i="12"/>
  <c r="F19" i="12"/>
  <c r="G19" i="12"/>
  <c r="H19" i="12"/>
  <c r="I19" i="12"/>
  <c r="J19" i="12"/>
  <c r="K19" i="12"/>
  <c r="A20" i="12"/>
  <c r="B20" i="12"/>
  <c r="C20" i="12"/>
  <c r="D20" i="12"/>
  <c r="E20" i="12"/>
  <c r="F20" i="12"/>
  <c r="R20" i="12" s="1"/>
  <c r="G20" i="12"/>
  <c r="H20" i="12"/>
  <c r="I20" i="12"/>
  <c r="J20" i="12"/>
  <c r="K20" i="12"/>
  <c r="A21" i="12"/>
  <c r="B21" i="12"/>
  <c r="P21" i="12" s="1"/>
  <c r="C21" i="12"/>
  <c r="D21" i="12"/>
  <c r="E21" i="12"/>
  <c r="F21" i="12"/>
  <c r="G21" i="12"/>
  <c r="H21" i="12"/>
  <c r="I21" i="12"/>
  <c r="J21" i="12"/>
  <c r="K21" i="12"/>
  <c r="A22" i="12"/>
  <c r="B22" i="12"/>
  <c r="C22" i="12"/>
  <c r="D22" i="12"/>
  <c r="E22" i="12"/>
  <c r="F22" i="12"/>
  <c r="G22" i="12"/>
  <c r="H22" i="12"/>
  <c r="I22" i="12"/>
  <c r="J22" i="12"/>
  <c r="K22" i="12"/>
  <c r="L22" i="12"/>
  <c r="A23" i="12"/>
  <c r="B23" i="12"/>
  <c r="P23" i="12" s="1"/>
  <c r="C23" i="12"/>
  <c r="D23" i="12"/>
  <c r="E23" i="12"/>
  <c r="F23" i="12"/>
  <c r="R23" i="12" s="1"/>
  <c r="G23" i="12"/>
  <c r="H23" i="12"/>
  <c r="I23" i="12"/>
  <c r="J23" i="12"/>
  <c r="K23" i="12"/>
  <c r="L23" i="12"/>
  <c r="A24" i="12"/>
  <c r="B24" i="12"/>
  <c r="N24" i="12" s="1"/>
  <c r="C24" i="12"/>
  <c r="D24" i="12"/>
  <c r="E24" i="12"/>
  <c r="F24" i="12"/>
  <c r="R24" i="12" s="1"/>
  <c r="G24" i="12"/>
  <c r="H24" i="12"/>
  <c r="I24" i="12"/>
  <c r="J24" i="12"/>
  <c r="K24" i="12"/>
  <c r="A25" i="12"/>
  <c r="B25" i="12"/>
  <c r="N25" i="12" s="1"/>
  <c r="C25" i="12"/>
  <c r="D25" i="12"/>
  <c r="E25" i="12"/>
  <c r="F25" i="12"/>
  <c r="R25" i="12" s="1"/>
  <c r="G25" i="12"/>
  <c r="H25" i="12"/>
  <c r="I25" i="12"/>
  <c r="J25" i="12"/>
  <c r="K25" i="12"/>
  <c r="A26" i="12"/>
  <c r="B26" i="12"/>
  <c r="N26" i="12" s="1"/>
  <c r="C26" i="12"/>
  <c r="D26" i="12"/>
  <c r="E26" i="12"/>
  <c r="F26" i="12"/>
  <c r="R26" i="12" s="1"/>
  <c r="G26" i="12"/>
  <c r="H26" i="12"/>
  <c r="I26" i="12"/>
  <c r="J26" i="12"/>
  <c r="K26" i="12"/>
  <c r="A27" i="12"/>
  <c r="B27" i="12"/>
  <c r="P27" i="12" s="1"/>
  <c r="C27" i="12"/>
  <c r="D27" i="12"/>
  <c r="E27" i="12"/>
  <c r="F27" i="12"/>
  <c r="R27" i="12" s="1"/>
  <c r="G27" i="12"/>
  <c r="H27" i="12"/>
  <c r="I27" i="12"/>
  <c r="J27" i="12"/>
  <c r="K27" i="12"/>
  <c r="L27" i="12"/>
  <c r="A28" i="12"/>
  <c r="B28" i="12"/>
  <c r="P28" i="12" s="1"/>
  <c r="C28" i="12"/>
  <c r="D28" i="12"/>
  <c r="E28" i="12"/>
  <c r="F28" i="12"/>
  <c r="R28" i="12" s="1"/>
  <c r="G28" i="12"/>
  <c r="H28" i="12"/>
  <c r="I28" i="12"/>
  <c r="J28" i="12"/>
  <c r="K28" i="12"/>
  <c r="A29" i="12"/>
  <c r="B29" i="12"/>
  <c r="N29" i="12" s="1"/>
  <c r="C29" i="12"/>
  <c r="D29" i="12"/>
  <c r="E29" i="12"/>
  <c r="F29" i="12"/>
  <c r="R29" i="12" s="1"/>
  <c r="G29" i="12"/>
  <c r="H29" i="12"/>
  <c r="I29" i="12"/>
  <c r="J29" i="12"/>
  <c r="K29" i="12"/>
  <c r="A30" i="12"/>
  <c r="B30" i="12"/>
  <c r="N30" i="12" s="1"/>
  <c r="C30" i="12"/>
  <c r="D30" i="12"/>
  <c r="E30" i="12"/>
  <c r="F30" i="12"/>
  <c r="G30" i="12"/>
  <c r="H30" i="12"/>
  <c r="I30" i="12"/>
  <c r="J30" i="12"/>
  <c r="K30" i="12"/>
  <c r="A31" i="12"/>
  <c r="B31" i="12"/>
  <c r="N31" i="12" s="1"/>
  <c r="C31" i="12"/>
  <c r="D31" i="12"/>
  <c r="E31" i="12"/>
  <c r="F31" i="12"/>
  <c r="G31" i="12"/>
  <c r="H31" i="12"/>
  <c r="I31" i="12"/>
  <c r="J31" i="12"/>
  <c r="K31" i="12"/>
  <c r="A32" i="12"/>
  <c r="B32" i="12"/>
  <c r="N32" i="12" s="1"/>
  <c r="C32" i="12"/>
  <c r="D32" i="12"/>
  <c r="E32" i="12"/>
  <c r="F32" i="12"/>
  <c r="G32" i="12"/>
  <c r="H32" i="12"/>
  <c r="I32" i="12"/>
  <c r="J32" i="12"/>
  <c r="K32" i="12"/>
  <c r="A33" i="12"/>
  <c r="B33" i="12"/>
  <c r="N33" i="12" s="1"/>
  <c r="C33" i="12"/>
  <c r="D33" i="12"/>
  <c r="E33" i="12"/>
  <c r="F33" i="12"/>
  <c r="G33" i="12"/>
  <c r="H33" i="12"/>
  <c r="I33" i="12"/>
  <c r="J33" i="12"/>
  <c r="K33" i="12"/>
  <c r="A34" i="12"/>
  <c r="B34" i="12"/>
  <c r="N34" i="12" s="1"/>
  <c r="C34" i="12"/>
  <c r="D34" i="12"/>
  <c r="E34" i="12"/>
  <c r="F34" i="12"/>
  <c r="G34" i="12"/>
  <c r="H34" i="12"/>
  <c r="I34" i="12"/>
  <c r="J34" i="12"/>
  <c r="K34" i="12"/>
  <c r="L34" i="12"/>
  <c r="A35" i="12"/>
  <c r="B35" i="12"/>
  <c r="N35" i="12" s="1"/>
  <c r="C35" i="12"/>
  <c r="D35" i="12"/>
  <c r="E35" i="12"/>
  <c r="F35" i="12"/>
  <c r="G35" i="12"/>
  <c r="H35" i="12"/>
  <c r="I35" i="12"/>
  <c r="J35" i="12"/>
  <c r="K35" i="12"/>
  <c r="L35" i="12"/>
  <c r="A36" i="12"/>
  <c r="B36" i="12"/>
  <c r="N36" i="12" s="1"/>
  <c r="C36" i="12"/>
  <c r="D36" i="12"/>
  <c r="E36" i="12"/>
  <c r="F36" i="12"/>
  <c r="G36" i="12"/>
  <c r="H36" i="12"/>
  <c r="I36" i="12"/>
  <c r="J36" i="12"/>
  <c r="K36" i="12"/>
  <c r="A37" i="12"/>
  <c r="B37" i="12"/>
  <c r="N37" i="12" s="1"/>
  <c r="C37" i="12"/>
  <c r="D37" i="12"/>
  <c r="E37" i="12"/>
  <c r="F37" i="12"/>
  <c r="R37" i="12" s="1"/>
  <c r="G37" i="12"/>
  <c r="H37" i="12"/>
  <c r="I37" i="12"/>
  <c r="J37" i="12"/>
  <c r="K37" i="12"/>
  <c r="A38" i="12"/>
  <c r="B38" i="12"/>
  <c r="N38" i="12" s="1"/>
  <c r="C38" i="12"/>
  <c r="D38" i="12"/>
  <c r="E38" i="12"/>
  <c r="F38" i="12"/>
  <c r="G38" i="12"/>
  <c r="H38" i="12"/>
  <c r="I38" i="12"/>
  <c r="J38" i="12"/>
  <c r="K38" i="12"/>
  <c r="A39" i="12"/>
  <c r="B39" i="12"/>
  <c r="P39" i="12" s="1"/>
  <c r="C39" i="12"/>
  <c r="D39" i="12"/>
  <c r="E39" i="12"/>
  <c r="F39" i="12"/>
  <c r="R39" i="12" s="1"/>
  <c r="G39" i="12"/>
  <c r="H39" i="12"/>
  <c r="I39" i="12"/>
  <c r="J39" i="12"/>
  <c r="K39" i="12"/>
  <c r="L39" i="12"/>
  <c r="A40" i="12"/>
  <c r="B40" i="12"/>
  <c r="P40" i="12" s="1"/>
  <c r="C40" i="12"/>
  <c r="D40" i="12"/>
  <c r="E40" i="12"/>
  <c r="F40" i="12"/>
  <c r="R40" i="12" s="1"/>
  <c r="G40" i="12"/>
  <c r="H40" i="12"/>
  <c r="I40" i="12"/>
  <c r="J40" i="12"/>
  <c r="K40" i="12"/>
  <c r="A41" i="12"/>
  <c r="B41" i="12"/>
  <c r="P41" i="12" s="1"/>
  <c r="C41" i="12"/>
  <c r="D41" i="12"/>
  <c r="E41" i="12"/>
  <c r="F41" i="12"/>
  <c r="R41" i="12" s="1"/>
  <c r="G41" i="12"/>
  <c r="H41" i="12"/>
  <c r="I41" i="12"/>
  <c r="J41" i="12"/>
  <c r="K41" i="12"/>
  <c r="A42" i="12"/>
  <c r="B42" i="12"/>
  <c r="P42" i="12" s="1"/>
  <c r="C42" i="12"/>
  <c r="D42" i="12"/>
  <c r="E42" i="12"/>
  <c r="F42" i="12"/>
  <c r="G42" i="12"/>
  <c r="H42" i="12"/>
  <c r="I42" i="12"/>
  <c r="J42" i="12"/>
  <c r="K42" i="12"/>
  <c r="A43" i="12"/>
  <c r="B43" i="12"/>
  <c r="C43" i="12"/>
  <c r="D43" i="12"/>
  <c r="E43" i="12"/>
  <c r="F43" i="12"/>
  <c r="R43" i="12" s="1"/>
  <c r="G43" i="12"/>
  <c r="H43" i="12"/>
  <c r="I43" i="12"/>
  <c r="J43" i="12"/>
  <c r="K43" i="12"/>
  <c r="A44" i="12"/>
  <c r="B44" i="12"/>
  <c r="N44" i="12" s="1"/>
  <c r="C44" i="12"/>
  <c r="D44" i="12"/>
  <c r="E44" i="12"/>
  <c r="F44" i="12"/>
  <c r="R44" i="12" s="1"/>
  <c r="G44" i="12"/>
  <c r="H44" i="12"/>
  <c r="I44" i="12"/>
  <c r="J44" i="12"/>
  <c r="K44" i="12"/>
  <c r="A45" i="12"/>
  <c r="B45" i="12"/>
  <c r="N45" i="12" s="1"/>
  <c r="C45" i="12"/>
  <c r="D45" i="12"/>
  <c r="E45" i="12"/>
  <c r="F45" i="12"/>
  <c r="G45" i="12"/>
  <c r="H45" i="12"/>
  <c r="I45" i="12"/>
  <c r="J45" i="12"/>
  <c r="K45" i="12"/>
  <c r="A46" i="12"/>
  <c r="B46" i="12"/>
  <c r="N46" i="12" s="1"/>
  <c r="C46" i="12"/>
  <c r="D46" i="12"/>
  <c r="E46" i="12"/>
  <c r="F46" i="12"/>
  <c r="G46" i="12"/>
  <c r="H46" i="12"/>
  <c r="I46" i="12"/>
  <c r="J46" i="12"/>
  <c r="K46" i="12"/>
  <c r="L46" i="12"/>
  <c r="A47" i="12"/>
  <c r="B47" i="12"/>
  <c r="N47" i="12" s="1"/>
  <c r="C47" i="12"/>
  <c r="D47" i="12"/>
  <c r="E47" i="12"/>
  <c r="F47" i="12"/>
  <c r="R47" i="12" s="1"/>
  <c r="G47" i="12"/>
  <c r="H47" i="12"/>
  <c r="I47" i="12"/>
  <c r="J47" i="12"/>
  <c r="K47" i="12"/>
  <c r="L47" i="12"/>
  <c r="A48" i="12"/>
  <c r="B48" i="12"/>
  <c r="N48" i="12" s="1"/>
  <c r="C48" i="12"/>
  <c r="D48" i="12"/>
  <c r="E48" i="12"/>
  <c r="F48" i="12"/>
  <c r="R48" i="12" s="1"/>
  <c r="G48" i="12"/>
  <c r="H48" i="12"/>
  <c r="I48" i="12"/>
  <c r="J48" i="12"/>
  <c r="K48" i="12"/>
  <c r="A49" i="12"/>
  <c r="B49" i="12"/>
  <c r="N49" i="12" s="1"/>
  <c r="C49" i="12"/>
  <c r="D49" i="12"/>
  <c r="E49" i="12"/>
  <c r="F49" i="12"/>
  <c r="G49" i="12"/>
  <c r="H49" i="12"/>
  <c r="I49" i="12"/>
  <c r="J49" i="12"/>
  <c r="K49" i="12"/>
  <c r="A50" i="12"/>
  <c r="B50" i="12"/>
  <c r="N50" i="12" s="1"/>
  <c r="C50" i="12"/>
  <c r="D50" i="12"/>
  <c r="E50" i="12"/>
  <c r="F50" i="12"/>
  <c r="G50" i="12"/>
  <c r="H50" i="12"/>
  <c r="I50" i="12"/>
  <c r="J50" i="12"/>
  <c r="K50" i="12"/>
  <c r="A51" i="12"/>
  <c r="B51" i="12"/>
  <c r="N51" i="12" s="1"/>
  <c r="C51" i="12"/>
  <c r="D51" i="12"/>
  <c r="E51" i="12"/>
  <c r="F51" i="12"/>
  <c r="G51" i="12"/>
  <c r="H51" i="12"/>
  <c r="I51" i="12"/>
  <c r="J51" i="12"/>
  <c r="K51" i="12"/>
  <c r="L51" i="12"/>
  <c r="A52" i="12"/>
  <c r="B52" i="12"/>
  <c r="N52" i="12" s="1"/>
  <c r="C52" i="12"/>
  <c r="D52" i="12"/>
  <c r="E52" i="12"/>
  <c r="F52" i="12"/>
  <c r="G52" i="12"/>
  <c r="H52" i="12"/>
  <c r="I52" i="12"/>
  <c r="J52" i="12"/>
  <c r="K52" i="12"/>
  <c r="A53" i="12"/>
  <c r="B53" i="12"/>
  <c r="N53" i="12" s="1"/>
  <c r="C53" i="12"/>
  <c r="D53" i="12"/>
  <c r="E53" i="12"/>
  <c r="F53" i="12"/>
  <c r="R53" i="12" s="1"/>
  <c r="G53" i="12"/>
  <c r="H53" i="12"/>
  <c r="I53" i="12"/>
  <c r="J53" i="12"/>
  <c r="K53" i="12"/>
  <c r="A54" i="12"/>
  <c r="B54" i="12"/>
  <c r="P54" i="12" s="1"/>
  <c r="C54" i="12"/>
  <c r="D54" i="12"/>
  <c r="E54" i="12"/>
  <c r="F54" i="12"/>
  <c r="G54" i="12"/>
  <c r="H54" i="12"/>
  <c r="I54" i="12"/>
  <c r="J54" i="12"/>
  <c r="K54" i="12"/>
  <c r="A55" i="12"/>
  <c r="B55" i="12"/>
  <c r="N55" i="12" s="1"/>
  <c r="Q55" i="12" s="1"/>
  <c r="C55" i="12"/>
  <c r="D55" i="12"/>
  <c r="E55" i="12"/>
  <c r="F55" i="12"/>
  <c r="R55" i="12" s="1"/>
  <c r="G55" i="12"/>
  <c r="H55" i="12"/>
  <c r="I55" i="12"/>
  <c r="J55" i="12"/>
  <c r="K55" i="12"/>
  <c r="A56" i="12"/>
  <c r="B56" i="12"/>
  <c r="N56" i="12" s="1"/>
  <c r="C56" i="12"/>
  <c r="D56" i="12"/>
  <c r="E56" i="12"/>
  <c r="F56" i="12"/>
  <c r="R56" i="12" s="1"/>
  <c r="G56" i="12"/>
  <c r="H56" i="12"/>
  <c r="I56" i="12"/>
  <c r="J56" i="12"/>
  <c r="K56" i="12"/>
  <c r="A57" i="12"/>
  <c r="B57" i="12"/>
  <c r="P57" i="12" s="1"/>
  <c r="C57" i="12"/>
  <c r="D57" i="12"/>
  <c r="E57" i="12"/>
  <c r="F57" i="12"/>
  <c r="G57" i="12"/>
  <c r="H57" i="12"/>
  <c r="I57" i="12"/>
  <c r="J57" i="12"/>
  <c r="K57" i="12"/>
  <c r="A58" i="12"/>
  <c r="B58" i="12"/>
  <c r="N58" i="12" s="1"/>
  <c r="C58" i="12"/>
  <c r="D58" i="12"/>
  <c r="E58" i="12"/>
  <c r="F58" i="12"/>
  <c r="G58" i="12"/>
  <c r="H58" i="12"/>
  <c r="I58" i="12"/>
  <c r="J58" i="12"/>
  <c r="K58" i="12"/>
  <c r="L58" i="12"/>
  <c r="A59" i="12"/>
  <c r="B59" i="12"/>
  <c r="N59" i="12" s="1"/>
  <c r="C59" i="12"/>
  <c r="D59" i="12"/>
  <c r="E59" i="12"/>
  <c r="F59" i="12"/>
  <c r="R59" i="12" s="1"/>
  <c r="G59" i="12"/>
  <c r="H59" i="12"/>
  <c r="I59" i="12"/>
  <c r="J59" i="12"/>
  <c r="K59" i="12"/>
  <c r="L59" i="12"/>
  <c r="A60" i="12"/>
  <c r="B60" i="12"/>
  <c r="N60" i="12" s="1"/>
  <c r="C60" i="12"/>
  <c r="D60" i="12"/>
  <c r="E60" i="12"/>
  <c r="F60" i="12"/>
  <c r="R60" i="12" s="1"/>
  <c r="G60" i="12"/>
  <c r="H60" i="12"/>
  <c r="I60" i="12"/>
  <c r="J60" i="12"/>
  <c r="K60" i="12"/>
  <c r="A61" i="12"/>
  <c r="B61" i="12"/>
  <c r="N61" i="12" s="1"/>
  <c r="C61" i="12"/>
  <c r="D61" i="12"/>
  <c r="E61" i="12"/>
  <c r="F61" i="12"/>
  <c r="R61" i="12" s="1"/>
  <c r="G61" i="12"/>
  <c r="H61" i="12"/>
  <c r="I61" i="12"/>
  <c r="J61" i="12"/>
  <c r="K61" i="12"/>
  <c r="A62" i="12"/>
  <c r="B62" i="12"/>
  <c r="N62" i="12" s="1"/>
  <c r="C62" i="12"/>
  <c r="D62" i="12"/>
  <c r="E62" i="12"/>
  <c r="F62" i="12"/>
  <c r="G62" i="12"/>
  <c r="H62" i="12"/>
  <c r="I62" i="12"/>
  <c r="J62" i="12"/>
  <c r="K62" i="12"/>
  <c r="A63" i="12"/>
  <c r="B63" i="12"/>
  <c r="N63" i="12" s="1"/>
  <c r="C63" i="12"/>
  <c r="D63" i="12"/>
  <c r="E63" i="12"/>
  <c r="F63" i="12"/>
  <c r="R63" i="12" s="1"/>
  <c r="G63" i="12"/>
  <c r="H63" i="12"/>
  <c r="I63" i="12"/>
  <c r="J63" i="12"/>
  <c r="K63" i="12"/>
  <c r="L63" i="12"/>
  <c r="A64" i="12"/>
  <c r="B64" i="12"/>
  <c r="N64" i="12" s="1"/>
  <c r="C64" i="12"/>
  <c r="D64" i="12"/>
  <c r="E64" i="12"/>
  <c r="F64" i="12"/>
  <c r="R64" i="12" s="1"/>
  <c r="G64" i="12"/>
  <c r="H64" i="12"/>
  <c r="I64" i="12"/>
  <c r="J64" i="12"/>
  <c r="K64" i="12"/>
  <c r="A65" i="12"/>
  <c r="B65" i="12"/>
  <c r="N65" i="12" s="1"/>
  <c r="C65" i="12"/>
  <c r="D65" i="12"/>
  <c r="E65" i="12"/>
  <c r="F65" i="12"/>
  <c r="G65" i="12"/>
  <c r="H65" i="12"/>
  <c r="I65" i="12"/>
  <c r="J65" i="12"/>
  <c r="K65" i="12"/>
  <c r="A66" i="12"/>
  <c r="B66" i="12"/>
  <c r="N66" i="12" s="1"/>
  <c r="C66" i="12"/>
  <c r="D66" i="12"/>
  <c r="E66" i="12"/>
  <c r="F66" i="12"/>
  <c r="G66" i="12"/>
  <c r="H66" i="12"/>
  <c r="I66" i="12"/>
  <c r="J66" i="12"/>
  <c r="K66" i="12"/>
  <c r="A67" i="12"/>
  <c r="B67" i="12"/>
  <c r="N67" i="12" s="1"/>
  <c r="C67" i="12"/>
  <c r="D67" i="12"/>
  <c r="E67" i="12"/>
  <c r="F67" i="12"/>
  <c r="G67" i="12"/>
  <c r="H67" i="12"/>
  <c r="I67" i="12"/>
  <c r="J67" i="12"/>
  <c r="K67" i="12"/>
  <c r="A68" i="12"/>
  <c r="B68" i="12"/>
  <c r="N68" i="12" s="1"/>
  <c r="C68" i="12"/>
  <c r="D68" i="12"/>
  <c r="E68" i="12"/>
  <c r="F68" i="12"/>
  <c r="R68" i="12" s="1"/>
  <c r="G68" i="12"/>
  <c r="H68" i="12"/>
  <c r="I68" i="12"/>
  <c r="J68" i="12"/>
  <c r="K68" i="12"/>
  <c r="A69" i="12"/>
  <c r="B69" i="12"/>
  <c r="N69" i="12" s="1"/>
  <c r="C69" i="12"/>
  <c r="D69" i="12"/>
  <c r="E69" i="12"/>
  <c r="F69" i="12"/>
  <c r="G69" i="12"/>
  <c r="H69" i="12"/>
  <c r="I69" i="12"/>
  <c r="J69" i="12"/>
  <c r="K69" i="12"/>
  <c r="A70" i="12"/>
  <c r="B70" i="12"/>
  <c r="N70" i="12" s="1"/>
  <c r="C70" i="12"/>
  <c r="D70" i="12"/>
  <c r="E70" i="12"/>
  <c r="F70" i="12"/>
  <c r="G70" i="12"/>
  <c r="H70" i="12"/>
  <c r="I70" i="12"/>
  <c r="J70" i="12"/>
  <c r="K70" i="12"/>
  <c r="L70" i="12"/>
  <c r="A71" i="12"/>
  <c r="B71" i="12"/>
  <c r="N71" i="12" s="1"/>
  <c r="C71" i="12"/>
  <c r="D71" i="12"/>
  <c r="E71" i="12"/>
  <c r="F71" i="12"/>
  <c r="R71" i="12" s="1"/>
  <c r="G71" i="12"/>
  <c r="H71" i="12"/>
  <c r="I71" i="12"/>
  <c r="J71" i="12"/>
  <c r="K71" i="12"/>
  <c r="L71" i="12"/>
  <c r="A72" i="12"/>
  <c r="B72" i="12"/>
  <c r="N72" i="12" s="1"/>
  <c r="C72" i="12"/>
  <c r="D72" i="12"/>
  <c r="E72" i="12"/>
  <c r="F72" i="12"/>
  <c r="R72" i="12" s="1"/>
  <c r="G72" i="12"/>
  <c r="H72" i="12"/>
  <c r="I72" i="12"/>
  <c r="J72" i="12"/>
  <c r="K72" i="12"/>
  <c r="A73" i="12"/>
  <c r="B73" i="12"/>
  <c r="N73" i="12" s="1"/>
  <c r="C73" i="12"/>
  <c r="D73" i="12"/>
  <c r="E73" i="12"/>
  <c r="F73" i="12"/>
  <c r="R73" i="12" s="1"/>
  <c r="G73" i="12"/>
  <c r="H73" i="12"/>
  <c r="I73" i="12"/>
  <c r="J73" i="12"/>
  <c r="K73" i="12"/>
  <c r="A74" i="12"/>
  <c r="B74" i="12"/>
  <c r="N74" i="12" s="1"/>
  <c r="C74" i="12"/>
  <c r="D74" i="12"/>
  <c r="E74" i="12"/>
  <c r="F74" i="12"/>
  <c r="R74" i="12" s="1"/>
  <c r="G74" i="12"/>
  <c r="H74" i="12"/>
  <c r="I74" i="12"/>
  <c r="J74" i="12"/>
  <c r="K74" i="12"/>
  <c r="H46" i="13"/>
  <c r="H49" i="13"/>
  <c r="H67" i="13"/>
  <c r="H72" i="13"/>
  <c r="F12" i="13"/>
  <c r="F16" i="13"/>
  <c r="F19" i="13"/>
  <c r="F58" i="13"/>
  <c r="F59" i="13"/>
  <c r="AA8" i="14"/>
  <c r="AA9" i="14"/>
  <c r="AG9" i="14" s="1"/>
  <c r="AA10" i="14"/>
  <c r="AG10" i="14" s="1"/>
  <c r="AA11" i="14"/>
  <c r="AG11" i="14" s="1"/>
  <c r="H4" i="13" s="1"/>
  <c r="AA12" i="14"/>
  <c r="AG12" i="14" s="1"/>
  <c r="H71" i="13" s="1"/>
  <c r="AA13" i="14"/>
  <c r="AG13" i="14" s="1"/>
  <c r="F11" i="13" s="1"/>
  <c r="AA14" i="14"/>
  <c r="AG14" i="14" s="1"/>
  <c r="AA15" i="14"/>
  <c r="AA16" i="14"/>
  <c r="AG16" i="14" s="1"/>
  <c r="AA17" i="14"/>
  <c r="AA18" i="14"/>
  <c r="AG18" i="14" s="1"/>
  <c r="AA19" i="14"/>
  <c r="AG20" i="14" s="1"/>
  <c r="H23" i="13" s="1"/>
  <c r="AA20" i="14"/>
  <c r="AA21" i="14"/>
  <c r="AG21" i="14" s="1"/>
  <c r="AA22" i="14"/>
  <c r="AA23" i="14"/>
  <c r="AA24" i="14"/>
  <c r="AA25" i="14"/>
  <c r="AA26" i="14"/>
  <c r="AA7" i="14"/>
  <c r="AE7" i="14"/>
  <c r="AE8" i="14"/>
  <c r="AE9" i="14"/>
  <c r="AE10" i="14"/>
  <c r="AE11" i="14"/>
  <c r="AE12" i="14"/>
  <c r="AE13" i="14"/>
  <c r="AE14" i="14"/>
  <c r="AE15" i="14"/>
  <c r="AE16" i="14"/>
  <c r="AE17" i="14"/>
  <c r="AE18" i="14"/>
  <c r="AE19" i="14"/>
  <c r="AE20" i="14"/>
  <c r="AE21" i="14"/>
  <c r="AE22" i="14"/>
  <c r="AE23" i="14"/>
  <c r="AE24" i="14"/>
  <c r="AE25" i="14"/>
  <c r="AE26" i="14"/>
  <c r="AG25" i="14"/>
  <c r="F42" i="13" s="1"/>
  <c r="AG8" i="14"/>
  <c r="H13" i="13" s="1"/>
  <c r="AG23" i="14"/>
  <c r="F52" i="13" s="1"/>
  <c r="AG24" i="14"/>
  <c r="H22" i="13" s="1"/>
  <c r="AG26" i="14"/>
  <c r="H24" i="13" s="1"/>
  <c r="AG7" i="14"/>
  <c r="H43" i="13" s="1"/>
  <c r="AD8" i="14"/>
  <c r="AD9" i="14"/>
  <c r="AD10" i="14"/>
  <c r="AD11" i="14"/>
  <c r="AD12" i="14"/>
  <c r="AD13" i="14"/>
  <c r="AD14" i="14"/>
  <c r="AD15" i="14"/>
  <c r="AD16" i="14"/>
  <c r="AD17" i="14"/>
  <c r="AD18" i="14"/>
  <c r="AD19" i="14"/>
  <c r="AD20" i="14"/>
  <c r="AD21" i="14"/>
  <c r="AD22" i="14"/>
  <c r="AD23" i="14"/>
  <c r="AD24" i="14"/>
  <c r="AD25" i="14"/>
  <c r="AD26" i="14"/>
  <c r="AD7" i="14"/>
  <c r="AB8" i="14"/>
  <c r="AB9" i="14"/>
  <c r="AB10" i="14"/>
  <c r="AB11" i="14"/>
  <c r="AB12" i="14"/>
  <c r="AB13" i="14"/>
  <c r="AB14" i="14"/>
  <c r="AB15" i="14"/>
  <c r="AB16" i="14"/>
  <c r="AB17" i="14"/>
  <c r="AB18" i="14"/>
  <c r="AB19" i="14"/>
  <c r="AB20" i="14"/>
  <c r="AB21" i="14"/>
  <c r="AB22" i="14"/>
  <c r="AB23" i="14"/>
  <c r="AB24" i="14"/>
  <c r="AB25" i="14"/>
  <c r="AB26" i="14"/>
  <c r="AB7" i="14"/>
  <c r="AC11" i="14"/>
  <c r="AC12" i="14"/>
  <c r="AC13" i="14"/>
  <c r="AC14" i="14"/>
  <c r="AC18" i="14"/>
  <c r="AC19" i="14"/>
  <c r="AC7" i="14"/>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2" i="5"/>
  <c r="N5" i="14"/>
  <c r="O5" i="14"/>
  <c r="P5" i="14"/>
  <c r="Q5" i="14"/>
  <c r="R5" i="14"/>
  <c r="S5" i="14"/>
  <c r="T5" i="14"/>
  <c r="U5" i="14"/>
  <c r="V5" i="14"/>
  <c r="W5" i="14"/>
  <c r="X5" i="14"/>
  <c r="Y5" i="14"/>
  <c r="N6" i="14"/>
  <c r="O6" i="14"/>
  <c r="P6" i="14"/>
  <c r="Q6" i="14"/>
  <c r="R6" i="14"/>
  <c r="S6" i="14"/>
  <c r="T6" i="14"/>
  <c r="U6" i="14"/>
  <c r="V6" i="14"/>
  <c r="W6" i="14"/>
  <c r="X6" i="14"/>
  <c r="Y6" i="14"/>
  <c r="N7" i="14"/>
  <c r="O7" i="14"/>
  <c r="P7" i="14"/>
  <c r="Q7" i="14"/>
  <c r="R7" i="14"/>
  <c r="S7" i="14"/>
  <c r="T7" i="14"/>
  <c r="U7" i="14"/>
  <c r="V7" i="14"/>
  <c r="W7" i="14"/>
  <c r="X7" i="14"/>
  <c r="Y7" i="14"/>
  <c r="N8" i="14"/>
  <c r="O8" i="14"/>
  <c r="AC8" i="14" s="1"/>
  <c r="P8" i="14"/>
  <c r="Q8" i="14"/>
  <c r="R8" i="14"/>
  <c r="S8" i="14"/>
  <c r="T8" i="14"/>
  <c r="U8" i="14"/>
  <c r="V8" i="14"/>
  <c r="W8" i="14"/>
  <c r="X8" i="14"/>
  <c r="Y8" i="14"/>
  <c r="N9" i="14"/>
  <c r="O9" i="14"/>
  <c r="AC9" i="14" s="1"/>
  <c r="P9" i="14"/>
  <c r="Q9" i="14"/>
  <c r="R9" i="14"/>
  <c r="S9" i="14"/>
  <c r="T9" i="14"/>
  <c r="U9" i="14"/>
  <c r="V9" i="14"/>
  <c r="W9" i="14"/>
  <c r="X9" i="14"/>
  <c r="Y9" i="14"/>
  <c r="N10" i="14"/>
  <c r="O10" i="14"/>
  <c r="AC10" i="14" s="1"/>
  <c r="P10" i="14"/>
  <c r="Q10" i="14"/>
  <c r="R10" i="14"/>
  <c r="S10" i="14"/>
  <c r="T10" i="14"/>
  <c r="U10" i="14"/>
  <c r="V10" i="14"/>
  <c r="W10" i="14"/>
  <c r="X10" i="14"/>
  <c r="Y10" i="14"/>
  <c r="N11" i="14"/>
  <c r="O11" i="14"/>
  <c r="P11" i="14"/>
  <c r="Q11" i="14"/>
  <c r="R11" i="14"/>
  <c r="S11" i="14"/>
  <c r="T11" i="14"/>
  <c r="U11" i="14"/>
  <c r="V11" i="14"/>
  <c r="W11" i="14"/>
  <c r="X11" i="14"/>
  <c r="Y11" i="14"/>
  <c r="N12" i="14"/>
  <c r="O12" i="14"/>
  <c r="P12" i="14"/>
  <c r="Q12" i="14"/>
  <c r="R12" i="14"/>
  <c r="S12" i="14"/>
  <c r="T12" i="14"/>
  <c r="U12" i="14"/>
  <c r="V12" i="14"/>
  <c r="W12" i="14"/>
  <c r="X12" i="14"/>
  <c r="Y12" i="14"/>
  <c r="N13" i="14"/>
  <c r="O13" i="14"/>
  <c r="P13" i="14"/>
  <c r="Q13" i="14"/>
  <c r="R13" i="14"/>
  <c r="S13" i="14"/>
  <c r="T13" i="14"/>
  <c r="U13" i="14"/>
  <c r="V13" i="14"/>
  <c r="W13" i="14"/>
  <c r="X13" i="14"/>
  <c r="Y13" i="14"/>
  <c r="N14" i="14"/>
  <c r="O14" i="14"/>
  <c r="P14" i="14"/>
  <c r="Q14" i="14"/>
  <c r="R14" i="14"/>
  <c r="S14" i="14"/>
  <c r="T14" i="14"/>
  <c r="U14" i="14"/>
  <c r="V14" i="14"/>
  <c r="W14" i="14"/>
  <c r="X14" i="14"/>
  <c r="Y14" i="14"/>
  <c r="N15" i="14"/>
  <c r="O15" i="14"/>
  <c r="AC15" i="14" s="1"/>
  <c r="P15" i="14"/>
  <c r="Q15" i="14"/>
  <c r="R15" i="14"/>
  <c r="S15" i="14"/>
  <c r="T15" i="14"/>
  <c r="U15" i="14"/>
  <c r="V15" i="14"/>
  <c r="W15" i="14"/>
  <c r="X15" i="14"/>
  <c r="Y15" i="14"/>
  <c r="N16" i="14"/>
  <c r="O16" i="14"/>
  <c r="AC16" i="14" s="1"/>
  <c r="P16" i="14"/>
  <c r="Q16" i="14"/>
  <c r="R16" i="14"/>
  <c r="S16" i="14"/>
  <c r="T16" i="14"/>
  <c r="U16" i="14"/>
  <c r="V16" i="14"/>
  <c r="W16" i="14"/>
  <c r="X16" i="14"/>
  <c r="Y16" i="14"/>
  <c r="N17" i="14"/>
  <c r="O17" i="14"/>
  <c r="AC17" i="14" s="1"/>
  <c r="P17" i="14"/>
  <c r="Q17" i="14"/>
  <c r="R17" i="14"/>
  <c r="S17" i="14"/>
  <c r="T17" i="14"/>
  <c r="U17" i="14"/>
  <c r="V17" i="14"/>
  <c r="W17" i="14"/>
  <c r="X17" i="14"/>
  <c r="Y17" i="14"/>
  <c r="N18" i="14"/>
  <c r="O18" i="14"/>
  <c r="P18" i="14"/>
  <c r="Q18" i="14"/>
  <c r="R18" i="14"/>
  <c r="S18" i="14"/>
  <c r="T18" i="14"/>
  <c r="U18" i="14"/>
  <c r="V18" i="14"/>
  <c r="W18" i="14"/>
  <c r="X18" i="14"/>
  <c r="Y18" i="14"/>
  <c r="N19" i="14"/>
  <c r="O19" i="14"/>
  <c r="P19" i="14"/>
  <c r="Q19" i="14"/>
  <c r="R19" i="14"/>
  <c r="S19" i="14"/>
  <c r="T19" i="14"/>
  <c r="U19" i="14"/>
  <c r="V19" i="14"/>
  <c r="W19" i="14"/>
  <c r="X19" i="14"/>
  <c r="Y19" i="14"/>
  <c r="N20" i="14"/>
  <c r="O20" i="14"/>
  <c r="AC20" i="14" s="1"/>
  <c r="P20" i="14"/>
  <c r="Q20" i="14"/>
  <c r="R20" i="14"/>
  <c r="S20" i="14"/>
  <c r="T20" i="14"/>
  <c r="U20" i="14"/>
  <c r="V20" i="14"/>
  <c r="W20" i="14"/>
  <c r="X20" i="14"/>
  <c r="Y20" i="14"/>
  <c r="N21" i="14"/>
  <c r="O21" i="14"/>
  <c r="AC21" i="14" s="1"/>
  <c r="P21" i="14"/>
  <c r="Q21" i="14"/>
  <c r="R21" i="14"/>
  <c r="S21" i="14"/>
  <c r="T21" i="14"/>
  <c r="U21" i="14"/>
  <c r="V21" i="14"/>
  <c r="W21" i="14"/>
  <c r="X21" i="14"/>
  <c r="Y21" i="14"/>
  <c r="N22" i="14"/>
  <c r="O22" i="14"/>
  <c r="AC22" i="14" s="1"/>
  <c r="P22" i="14"/>
  <c r="Q22" i="14"/>
  <c r="R22" i="14"/>
  <c r="S22" i="14"/>
  <c r="T22" i="14"/>
  <c r="U22" i="14"/>
  <c r="V22" i="14"/>
  <c r="W22" i="14"/>
  <c r="X22" i="14"/>
  <c r="Y22" i="14"/>
  <c r="N23" i="14"/>
  <c r="O23" i="14"/>
  <c r="AC23" i="14" s="1"/>
  <c r="P23" i="14"/>
  <c r="Q23" i="14"/>
  <c r="R23" i="14"/>
  <c r="S23" i="14"/>
  <c r="T23" i="14"/>
  <c r="U23" i="14"/>
  <c r="V23" i="14"/>
  <c r="W23" i="14"/>
  <c r="X23" i="14"/>
  <c r="Y23" i="14"/>
  <c r="N24" i="14"/>
  <c r="O24" i="14"/>
  <c r="AC24" i="14" s="1"/>
  <c r="P24" i="14"/>
  <c r="Q24" i="14"/>
  <c r="R24" i="14"/>
  <c r="S24" i="14"/>
  <c r="T24" i="14"/>
  <c r="U24" i="14"/>
  <c r="V24" i="14"/>
  <c r="W24" i="14"/>
  <c r="X24" i="14"/>
  <c r="Y24" i="14"/>
  <c r="N25" i="14"/>
  <c r="O25" i="14"/>
  <c r="AC25" i="14" s="1"/>
  <c r="P25" i="14"/>
  <c r="Q25" i="14"/>
  <c r="R25" i="14"/>
  <c r="S25" i="14"/>
  <c r="T25" i="14"/>
  <c r="U25" i="14"/>
  <c r="V25" i="14"/>
  <c r="W25" i="14"/>
  <c r="X25" i="14"/>
  <c r="Y25" i="14"/>
  <c r="N26" i="14"/>
  <c r="O26" i="14"/>
  <c r="AC26" i="14" s="1"/>
  <c r="P26" i="14"/>
  <c r="Q26" i="14"/>
  <c r="R26" i="14"/>
  <c r="S26" i="14"/>
  <c r="T26" i="14"/>
  <c r="U26" i="14"/>
  <c r="V26" i="14"/>
  <c r="W26" i="14"/>
  <c r="X26" i="14"/>
  <c r="Y26" i="14"/>
  <c r="O4" i="14"/>
  <c r="P4" i="14"/>
  <c r="Q4" i="14"/>
  <c r="R4" i="14"/>
  <c r="S4" i="14"/>
  <c r="T4" i="14"/>
  <c r="U4" i="14"/>
  <c r="V4" i="14"/>
  <c r="W4" i="14"/>
  <c r="X4" i="14"/>
  <c r="Y4" i="14"/>
  <c r="N4" i="14"/>
  <c r="A2" i="13"/>
  <c r="B2" i="13"/>
  <c r="C2" i="13"/>
  <c r="D2" i="13"/>
  <c r="A3" i="13"/>
  <c r="B3" i="13"/>
  <c r="C3" i="13"/>
  <c r="D3" i="13"/>
  <c r="A4" i="13"/>
  <c r="B4" i="13"/>
  <c r="C4" i="13"/>
  <c r="D4" i="13"/>
  <c r="A5" i="13"/>
  <c r="B5" i="13"/>
  <c r="C5" i="13"/>
  <c r="D5" i="13"/>
  <c r="A6" i="13"/>
  <c r="B6" i="13"/>
  <c r="C6" i="13"/>
  <c r="D6" i="13"/>
  <c r="A7" i="13"/>
  <c r="B7" i="13"/>
  <c r="C7" i="13"/>
  <c r="D7" i="13"/>
  <c r="A8" i="13"/>
  <c r="B8" i="13"/>
  <c r="C8" i="13"/>
  <c r="D8" i="13"/>
  <c r="A9" i="13"/>
  <c r="B9" i="13"/>
  <c r="C9" i="13"/>
  <c r="D9" i="13"/>
  <c r="A10" i="13"/>
  <c r="B10" i="13"/>
  <c r="C10" i="13"/>
  <c r="D10" i="13"/>
  <c r="A11" i="13"/>
  <c r="B11" i="13"/>
  <c r="C11" i="13"/>
  <c r="D11" i="13"/>
  <c r="A12" i="13"/>
  <c r="B12" i="13"/>
  <c r="C12" i="13"/>
  <c r="D12" i="13"/>
  <c r="A13" i="13"/>
  <c r="B13" i="13"/>
  <c r="C13" i="13"/>
  <c r="D13" i="13"/>
  <c r="A14" i="13"/>
  <c r="B14" i="13"/>
  <c r="C14" i="13"/>
  <c r="D14" i="13"/>
  <c r="A15" i="13"/>
  <c r="B15" i="13"/>
  <c r="C15" i="13"/>
  <c r="D15" i="13"/>
  <c r="A16" i="13"/>
  <c r="B16" i="13"/>
  <c r="C16" i="13"/>
  <c r="D16" i="13"/>
  <c r="A17" i="13"/>
  <c r="B17" i="13"/>
  <c r="C17" i="13"/>
  <c r="D17" i="13"/>
  <c r="A18" i="13"/>
  <c r="B18" i="13"/>
  <c r="C18" i="13"/>
  <c r="D18" i="13"/>
  <c r="A19" i="13"/>
  <c r="B19" i="13"/>
  <c r="C19" i="13"/>
  <c r="D19" i="13"/>
  <c r="A20" i="13"/>
  <c r="B20" i="13"/>
  <c r="C20" i="13"/>
  <c r="D20" i="13"/>
  <c r="A21" i="13"/>
  <c r="B21" i="13"/>
  <c r="C21" i="13"/>
  <c r="D21" i="13"/>
  <c r="A22" i="13"/>
  <c r="B22" i="13"/>
  <c r="C22" i="13"/>
  <c r="D22" i="13"/>
  <c r="A23" i="13"/>
  <c r="B23" i="13"/>
  <c r="C23" i="13"/>
  <c r="D23" i="13"/>
  <c r="A24" i="13"/>
  <c r="B24" i="13"/>
  <c r="C24" i="13"/>
  <c r="D24" i="13"/>
  <c r="A25" i="13"/>
  <c r="B25" i="13"/>
  <c r="C25" i="13"/>
  <c r="D25" i="13"/>
  <c r="A26" i="13"/>
  <c r="B26" i="13"/>
  <c r="C26" i="13"/>
  <c r="D26" i="13"/>
  <c r="A27" i="13"/>
  <c r="B27" i="13"/>
  <c r="C27" i="13"/>
  <c r="D27" i="13"/>
  <c r="A28" i="13"/>
  <c r="B28" i="13"/>
  <c r="C28" i="13"/>
  <c r="D28" i="13"/>
  <c r="A29" i="13"/>
  <c r="B29" i="13"/>
  <c r="C29" i="13"/>
  <c r="D29" i="13"/>
  <c r="A30" i="13"/>
  <c r="B30" i="13"/>
  <c r="C30" i="13"/>
  <c r="D30" i="13"/>
  <c r="A31" i="13"/>
  <c r="B31" i="13"/>
  <c r="C31" i="13"/>
  <c r="D31" i="13"/>
  <c r="A32" i="13"/>
  <c r="B32" i="13"/>
  <c r="C32" i="13"/>
  <c r="D32" i="13"/>
  <c r="A33" i="13"/>
  <c r="B33" i="13"/>
  <c r="C33" i="13"/>
  <c r="D33" i="13"/>
  <c r="A34" i="13"/>
  <c r="B34" i="13"/>
  <c r="C34" i="13"/>
  <c r="D34" i="13"/>
  <c r="A35" i="13"/>
  <c r="B35" i="13"/>
  <c r="C35" i="13"/>
  <c r="D35" i="13"/>
  <c r="A36" i="13"/>
  <c r="B36" i="13"/>
  <c r="C36" i="13"/>
  <c r="D36" i="13"/>
  <c r="A37" i="13"/>
  <c r="B37" i="13"/>
  <c r="C37" i="13"/>
  <c r="D37" i="13"/>
  <c r="A38" i="13"/>
  <c r="B38" i="13"/>
  <c r="C38" i="13"/>
  <c r="D38" i="13"/>
  <c r="A39" i="13"/>
  <c r="B39" i="13"/>
  <c r="C39" i="13"/>
  <c r="D39" i="13"/>
  <c r="A40" i="13"/>
  <c r="B40" i="13"/>
  <c r="C40" i="13"/>
  <c r="D40" i="13"/>
  <c r="A41" i="13"/>
  <c r="B41" i="13"/>
  <c r="C41" i="13"/>
  <c r="D41" i="13"/>
  <c r="A42" i="13"/>
  <c r="B42" i="13"/>
  <c r="C42" i="13"/>
  <c r="D42" i="13"/>
  <c r="A43" i="13"/>
  <c r="B43" i="13"/>
  <c r="C43" i="13"/>
  <c r="D43" i="13"/>
  <c r="A44" i="13"/>
  <c r="B44" i="13"/>
  <c r="C44" i="13"/>
  <c r="D44" i="13"/>
  <c r="A45" i="13"/>
  <c r="B45" i="13"/>
  <c r="C45" i="13"/>
  <c r="D45" i="13"/>
  <c r="A46" i="13"/>
  <c r="B46" i="13"/>
  <c r="C46" i="13"/>
  <c r="D46" i="13"/>
  <c r="A47" i="13"/>
  <c r="B47" i="13"/>
  <c r="C47" i="13"/>
  <c r="D47" i="13"/>
  <c r="A48" i="13"/>
  <c r="B48" i="13"/>
  <c r="C48" i="13"/>
  <c r="D48" i="13"/>
  <c r="A49" i="13"/>
  <c r="B49" i="13"/>
  <c r="C49" i="13"/>
  <c r="D49" i="13"/>
  <c r="A50" i="13"/>
  <c r="B50" i="13"/>
  <c r="C50" i="13"/>
  <c r="D50" i="13"/>
  <c r="A51" i="13"/>
  <c r="B51" i="13"/>
  <c r="C51" i="13"/>
  <c r="D51" i="13"/>
  <c r="A52" i="13"/>
  <c r="B52" i="13"/>
  <c r="C52" i="13"/>
  <c r="D52" i="13"/>
  <c r="A53" i="13"/>
  <c r="B53" i="13"/>
  <c r="C53" i="13"/>
  <c r="D53" i="13"/>
  <c r="A54" i="13"/>
  <c r="B54" i="13"/>
  <c r="C54" i="13"/>
  <c r="D54" i="13"/>
  <c r="A55" i="13"/>
  <c r="B55" i="13"/>
  <c r="C55" i="13"/>
  <c r="D55" i="13"/>
  <c r="A56" i="13"/>
  <c r="B56" i="13"/>
  <c r="C56" i="13"/>
  <c r="D56" i="13"/>
  <c r="A57" i="13"/>
  <c r="B57" i="13"/>
  <c r="C57" i="13"/>
  <c r="D57" i="13"/>
  <c r="A58" i="13"/>
  <c r="B58" i="13"/>
  <c r="C58" i="13"/>
  <c r="D58" i="13"/>
  <c r="A59" i="13"/>
  <c r="B59" i="13"/>
  <c r="C59" i="13"/>
  <c r="D59" i="13"/>
  <c r="A60" i="13"/>
  <c r="B60" i="13"/>
  <c r="C60" i="13"/>
  <c r="D60" i="13"/>
  <c r="A61" i="13"/>
  <c r="B61" i="13"/>
  <c r="C61" i="13"/>
  <c r="D61" i="13"/>
  <c r="A62" i="13"/>
  <c r="B62" i="13"/>
  <c r="C62" i="13"/>
  <c r="D62" i="13"/>
  <c r="A63" i="13"/>
  <c r="B63" i="13"/>
  <c r="C63" i="13"/>
  <c r="D63" i="13"/>
  <c r="A64" i="13"/>
  <c r="B64" i="13"/>
  <c r="C64" i="13"/>
  <c r="D64" i="13"/>
  <c r="A65" i="13"/>
  <c r="B65" i="13"/>
  <c r="C65" i="13"/>
  <c r="D65" i="13"/>
  <c r="A66" i="13"/>
  <c r="B66" i="13"/>
  <c r="C66" i="13"/>
  <c r="D66" i="13"/>
  <c r="A67" i="13"/>
  <c r="B67" i="13"/>
  <c r="C67" i="13"/>
  <c r="D67" i="13"/>
  <c r="A68" i="13"/>
  <c r="B68" i="13"/>
  <c r="C68" i="13"/>
  <c r="D68" i="13"/>
  <c r="A69" i="13"/>
  <c r="B69" i="13"/>
  <c r="C69" i="13"/>
  <c r="D69" i="13"/>
  <c r="A70" i="13"/>
  <c r="B70" i="13"/>
  <c r="C70" i="13"/>
  <c r="D70" i="13"/>
  <c r="A71" i="13"/>
  <c r="B71" i="13"/>
  <c r="C71" i="13"/>
  <c r="D71" i="13"/>
  <c r="A72" i="13"/>
  <c r="B72" i="13"/>
  <c r="C72" i="13"/>
  <c r="D72" i="13"/>
  <c r="A73" i="13"/>
  <c r="B73" i="13"/>
  <c r="C73" i="13"/>
  <c r="D73" i="13"/>
  <c r="A74" i="13"/>
  <c r="B74" i="13"/>
  <c r="C74" i="13"/>
  <c r="D74" i="13"/>
  <c r="B1" i="13"/>
  <c r="C1" i="13"/>
  <c r="D1" i="13"/>
  <c r="A1" i="13"/>
  <c r="B1" i="12"/>
  <c r="C1" i="12"/>
  <c r="D1" i="12"/>
  <c r="E1" i="12"/>
  <c r="F1" i="12"/>
  <c r="G1" i="12"/>
  <c r="H1" i="12"/>
  <c r="I1" i="12"/>
  <c r="J1" i="12"/>
  <c r="K1" i="12"/>
  <c r="L1" i="12"/>
  <c r="M1" i="12"/>
  <c r="A1" i="12"/>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2" i="5"/>
  <c r="E26" i="8"/>
  <c r="D26" i="8"/>
  <c r="M2" i="4"/>
  <c r="M2" i="12" s="1"/>
  <c r="M3" i="4"/>
  <c r="M3" i="12" s="1"/>
  <c r="M4" i="4"/>
  <c r="M4" i="12" s="1"/>
  <c r="M5" i="4"/>
  <c r="M5" i="12" s="1"/>
  <c r="M6" i="4"/>
  <c r="M6" i="12" s="1"/>
  <c r="M7" i="4"/>
  <c r="M7" i="12" s="1"/>
  <c r="M8" i="4"/>
  <c r="M8" i="12" s="1"/>
  <c r="M9" i="4"/>
  <c r="M9" i="12" s="1"/>
  <c r="M10" i="4"/>
  <c r="M10" i="12" s="1"/>
  <c r="M11" i="4"/>
  <c r="M11" i="12" s="1"/>
  <c r="M12" i="4"/>
  <c r="M12" i="12" s="1"/>
  <c r="M13" i="4"/>
  <c r="M13" i="12" s="1"/>
  <c r="M14" i="4"/>
  <c r="M14" i="12" s="1"/>
  <c r="M15" i="4"/>
  <c r="M15" i="12" s="1"/>
  <c r="M16" i="4"/>
  <c r="M16" i="12" s="1"/>
  <c r="M17" i="4"/>
  <c r="M17" i="12" s="1"/>
  <c r="M18" i="4"/>
  <c r="M18" i="12" s="1"/>
  <c r="M19" i="4"/>
  <c r="M19" i="12" s="1"/>
  <c r="M20" i="4"/>
  <c r="M20" i="12" s="1"/>
  <c r="M21" i="4"/>
  <c r="M21" i="12" s="1"/>
  <c r="M22" i="4"/>
  <c r="M22" i="12" s="1"/>
  <c r="M23" i="4"/>
  <c r="M23" i="12" s="1"/>
  <c r="M24" i="4"/>
  <c r="M24" i="12" s="1"/>
  <c r="M25" i="4"/>
  <c r="M25" i="12" s="1"/>
  <c r="M26" i="4"/>
  <c r="M26" i="12" s="1"/>
  <c r="M27" i="4"/>
  <c r="M27" i="12" s="1"/>
  <c r="M28" i="4"/>
  <c r="M28" i="12" s="1"/>
  <c r="M29" i="4"/>
  <c r="M29" i="12" s="1"/>
  <c r="M30" i="4"/>
  <c r="M30" i="12" s="1"/>
  <c r="M31" i="4"/>
  <c r="M31" i="12" s="1"/>
  <c r="M32" i="4"/>
  <c r="M32" i="12" s="1"/>
  <c r="M33" i="4"/>
  <c r="M33" i="12" s="1"/>
  <c r="M34" i="4"/>
  <c r="M34" i="12" s="1"/>
  <c r="M35" i="4"/>
  <c r="M35" i="12" s="1"/>
  <c r="M36" i="4"/>
  <c r="M36" i="12" s="1"/>
  <c r="M37" i="4"/>
  <c r="M37" i="12" s="1"/>
  <c r="M38" i="4"/>
  <c r="M38" i="12" s="1"/>
  <c r="M39" i="4"/>
  <c r="M39" i="12" s="1"/>
  <c r="M40" i="4"/>
  <c r="M40" i="12" s="1"/>
  <c r="M41" i="4"/>
  <c r="M41" i="12" s="1"/>
  <c r="M42" i="4"/>
  <c r="M42" i="12" s="1"/>
  <c r="M43" i="4"/>
  <c r="M43" i="12" s="1"/>
  <c r="M44" i="4"/>
  <c r="M44" i="12" s="1"/>
  <c r="M45" i="4"/>
  <c r="M45" i="12" s="1"/>
  <c r="M46" i="4"/>
  <c r="M46" i="12" s="1"/>
  <c r="M47" i="4"/>
  <c r="M47" i="12" s="1"/>
  <c r="M48" i="4"/>
  <c r="M48" i="12" s="1"/>
  <c r="M49" i="4"/>
  <c r="M49" i="12" s="1"/>
  <c r="M50" i="4"/>
  <c r="M50" i="12" s="1"/>
  <c r="M51" i="4"/>
  <c r="M51" i="12" s="1"/>
  <c r="M52" i="4"/>
  <c r="M52" i="12" s="1"/>
  <c r="M53" i="4"/>
  <c r="M53" i="12" s="1"/>
  <c r="M54" i="4"/>
  <c r="M54" i="12" s="1"/>
  <c r="M55" i="4"/>
  <c r="M55" i="12" s="1"/>
  <c r="M56" i="4"/>
  <c r="M56" i="12" s="1"/>
  <c r="M57" i="4"/>
  <c r="M57" i="12" s="1"/>
  <c r="M58" i="4"/>
  <c r="M58" i="12" s="1"/>
  <c r="M59" i="4"/>
  <c r="M59" i="12" s="1"/>
  <c r="M60" i="4"/>
  <c r="M60" i="12" s="1"/>
  <c r="M61" i="4"/>
  <c r="M61" i="12" s="1"/>
  <c r="M62" i="4"/>
  <c r="M62" i="12" s="1"/>
  <c r="M63" i="4"/>
  <c r="M63" i="12" s="1"/>
  <c r="M64" i="4"/>
  <c r="M64" i="12" s="1"/>
  <c r="M65" i="4"/>
  <c r="M65" i="12" s="1"/>
  <c r="M66" i="4"/>
  <c r="M66" i="12" s="1"/>
  <c r="M67" i="4"/>
  <c r="M67" i="12" s="1"/>
  <c r="M68" i="4"/>
  <c r="M68" i="12" s="1"/>
  <c r="M69" i="4"/>
  <c r="M69" i="12" s="1"/>
  <c r="M70" i="4"/>
  <c r="M70" i="12" s="1"/>
  <c r="M71" i="4"/>
  <c r="M71" i="12" s="1"/>
  <c r="M72" i="4"/>
  <c r="M72" i="12" s="1"/>
  <c r="M73" i="4"/>
  <c r="M73" i="12" s="1"/>
  <c r="M74" i="4"/>
  <c r="M74" i="12" s="1"/>
  <c r="L3" i="4"/>
  <c r="L4" i="4"/>
  <c r="L4" i="12" s="1"/>
  <c r="L5" i="4"/>
  <c r="L5" i="12" s="1"/>
  <c r="L6" i="4"/>
  <c r="L6" i="12" s="1"/>
  <c r="L7" i="4"/>
  <c r="L7" i="12" s="1"/>
  <c r="L8" i="4"/>
  <c r="L8" i="12" s="1"/>
  <c r="L9" i="4"/>
  <c r="L9" i="12" s="1"/>
  <c r="L10" i="4"/>
  <c r="L11" i="4"/>
  <c r="L12" i="4"/>
  <c r="L12" i="12" s="1"/>
  <c r="L13" i="4"/>
  <c r="L13" i="12" s="1"/>
  <c r="L14" i="4"/>
  <c r="L14" i="12" s="1"/>
  <c r="L15" i="4"/>
  <c r="L16" i="4"/>
  <c r="L16" i="12" s="1"/>
  <c r="L17" i="4"/>
  <c r="L17" i="12" s="1"/>
  <c r="L18" i="4"/>
  <c r="L18" i="12" s="1"/>
  <c r="L19" i="4"/>
  <c r="L19" i="12" s="1"/>
  <c r="L20" i="4"/>
  <c r="L20" i="12" s="1"/>
  <c r="L21" i="4"/>
  <c r="L21" i="12" s="1"/>
  <c r="L22" i="4"/>
  <c r="L23" i="4"/>
  <c r="L24" i="4"/>
  <c r="L24" i="12" s="1"/>
  <c r="L25" i="4"/>
  <c r="L25" i="12" s="1"/>
  <c r="L26" i="4"/>
  <c r="L26" i="12" s="1"/>
  <c r="L27" i="4"/>
  <c r="L28" i="4"/>
  <c r="L28" i="12" s="1"/>
  <c r="L29" i="4"/>
  <c r="L29" i="12" s="1"/>
  <c r="L30" i="4"/>
  <c r="L30" i="12" s="1"/>
  <c r="L31" i="4"/>
  <c r="L31" i="12" s="1"/>
  <c r="L32" i="4"/>
  <c r="L32" i="12" s="1"/>
  <c r="L33" i="4"/>
  <c r="L33" i="12" s="1"/>
  <c r="L34" i="4"/>
  <c r="L35" i="4"/>
  <c r="L36" i="4"/>
  <c r="L36" i="12" s="1"/>
  <c r="L37" i="4"/>
  <c r="L37" i="12" s="1"/>
  <c r="L38" i="4"/>
  <c r="L38" i="12" s="1"/>
  <c r="L39" i="4"/>
  <c r="L40" i="4"/>
  <c r="L40" i="12" s="1"/>
  <c r="L41" i="4"/>
  <c r="L41" i="12" s="1"/>
  <c r="L42" i="4"/>
  <c r="L42" i="12" s="1"/>
  <c r="L43" i="4"/>
  <c r="L43" i="12" s="1"/>
  <c r="L44" i="4"/>
  <c r="L44" i="12" s="1"/>
  <c r="L45" i="4"/>
  <c r="L45" i="12" s="1"/>
  <c r="L46" i="4"/>
  <c r="L47" i="4"/>
  <c r="L48" i="4"/>
  <c r="L48" i="12" s="1"/>
  <c r="L49" i="4"/>
  <c r="L49" i="12" s="1"/>
  <c r="L50" i="4"/>
  <c r="L50" i="12" s="1"/>
  <c r="L51" i="4"/>
  <c r="L52" i="4"/>
  <c r="L52" i="12" s="1"/>
  <c r="L53" i="4"/>
  <c r="L53" i="12" s="1"/>
  <c r="L54" i="4"/>
  <c r="L54" i="12" s="1"/>
  <c r="L55" i="4"/>
  <c r="L55" i="12" s="1"/>
  <c r="L56" i="4"/>
  <c r="L56" i="12" s="1"/>
  <c r="L57" i="4"/>
  <c r="L57" i="12" s="1"/>
  <c r="L58" i="4"/>
  <c r="L59" i="4"/>
  <c r="L60" i="4"/>
  <c r="L60" i="12" s="1"/>
  <c r="L61" i="4"/>
  <c r="L61" i="12" s="1"/>
  <c r="L62" i="4"/>
  <c r="L62" i="12" s="1"/>
  <c r="L63" i="4"/>
  <c r="L64" i="4"/>
  <c r="L64" i="12" s="1"/>
  <c r="L65" i="4"/>
  <c r="L65" i="12" s="1"/>
  <c r="L66" i="4"/>
  <c r="L66" i="12" s="1"/>
  <c r="L67" i="4"/>
  <c r="L67" i="12" s="1"/>
  <c r="L68" i="4"/>
  <c r="L68" i="12" s="1"/>
  <c r="L69" i="4"/>
  <c r="L69" i="12" s="1"/>
  <c r="L70" i="4"/>
  <c r="L71" i="4"/>
  <c r="L72" i="4"/>
  <c r="L72" i="12" s="1"/>
  <c r="L73" i="4"/>
  <c r="L73" i="12" s="1"/>
  <c r="L74" i="4"/>
  <c r="L74" i="12" s="1"/>
  <c r="L2" i="4"/>
  <c r="E3" i="8"/>
  <c r="E4" i="8"/>
  <c r="E5" i="8"/>
  <c r="E6" i="8"/>
  <c r="E7" i="8"/>
  <c r="E8" i="8"/>
  <c r="E9" i="8"/>
  <c r="E10" i="8"/>
  <c r="E11" i="8"/>
  <c r="E12" i="8"/>
  <c r="E13" i="8"/>
  <c r="E14" i="8"/>
  <c r="E15" i="8"/>
  <c r="E16" i="8"/>
  <c r="E17" i="8"/>
  <c r="E18" i="8"/>
  <c r="E19" i="8"/>
  <c r="E20" i="8"/>
  <c r="E21" i="8"/>
  <c r="E22" i="8"/>
  <c r="E23" i="8"/>
  <c r="E24" i="8"/>
  <c r="E25" i="8"/>
  <c r="D3" i="8"/>
  <c r="D4" i="8"/>
  <c r="D5" i="8"/>
  <c r="D6" i="8"/>
  <c r="D7" i="8"/>
  <c r="D8" i="8"/>
  <c r="D9" i="8"/>
  <c r="D10" i="8"/>
  <c r="D11" i="8"/>
  <c r="D12" i="8"/>
  <c r="D13" i="8"/>
  <c r="D14" i="8"/>
  <c r="D15" i="8"/>
  <c r="D16" i="8"/>
  <c r="D17" i="8"/>
  <c r="D18" i="8"/>
  <c r="D19" i="8"/>
  <c r="D20" i="8"/>
  <c r="D21" i="8"/>
  <c r="D22" i="8"/>
  <c r="D23" i="8"/>
  <c r="D24" i="8"/>
  <c r="D25" i="8"/>
  <c r="D2" i="8"/>
  <c r="E2" i="8"/>
  <c r="F17" i="5"/>
  <c r="F22" i="5"/>
  <c r="F21" i="5"/>
  <c r="F20" i="5"/>
  <c r="F18" i="5"/>
  <c r="F19" i="5"/>
  <c r="I15" i="15" l="1"/>
  <c r="O5" i="15"/>
  <c r="J15" i="15"/>
  <c r="O4" i="15"/>
  <c r="J16" i="15" s="1"/>
  <c r="F55" i="13"/>
  <c r="F36" i="13"/>
  <c r="F18" i="13"/>
  <c r="F46" i="13"/>
  <c r="F66" i="13"/>
  <c r="F54" i="13"/>
  <c r="F35" i="13"/>
  <c r="F43" i="13"/>
  <c r="F64" i="13"/>
  <c r="F31" i="13"/>
  <c r="F15" i="13"/>
  <c r="F39" i="13"/>
  <c r="F40" i="13"/>
  <c r="F60" i="13"/>
  <c r="F6" i="13"/>
  <c r="F70" i="13"/>
  <c r="F30" i="13"/>
  <c r="F71" i="13"/>
  <c r="F7" i="13"/>
  <c r="F51" i="13"/>
  <c r="AG22" i="14"/>
  <c r="H7" i="13" s="1"/>
  <c r="F10" i="13"/>
  <c r="H60" i="13"/>
  <c r="H40" i="13"/>
  <c r="H20" i="13"/>
  <c r="F48" i="13"/>
  <c r="F28" i="13"/>
  <c r="H37" i="13"/>
  <c r="H19" i="13"/>
  <c r="F67" i="13"/>
  <c r="F47" i="13"/>
  <c r="F27" i="13"/>
  <c r="H58" i="13"/>
  <c r="H36" i="13"/>
  <c r="H17" i="13"/>
  <c r="F24" i="13"/>
  <c r="F4" i="13"/>
  <c r="H56" i="13"/>
  <c r="H35" i="13"/>
  <c r="H16" i="13"/>
  <c r="F3" i="13"/>
  <c r="H55" i="13"/>
  <c r="H34" i="13"/>
  <c r="F63" i="13"/>
  <c r="F22" i="13"/>
  <c r="H73" i="13"/>
  <c r="H52" i="13"/>
  <c r="H32" i="13"/>
  <c r="H31" i="13"/>
  <c r="H11" i="13"/>
  <c r="H48" i="13"/>
  <c r="H28" i="13"/>
  <c r="H10" i="13"/>
  <c r="H47" i="13"/>
  <c r="H25" i="13"/>
  <c r="H8" i="13"/>
  <c r="F34" i="13"/>
  <c r="H64" i="13"/>
  <c r="H44" i="13"/>
  <c r="H5" i="13"/>
  <c r="F72" i="13"/>
  <c r="H61" i="13"/>
  <c r="I17" i="15"/>
  <c r="Q56" i="12"/>
  <c r="Q44" i="12"/>
  <c r="Q70" i="12"/>
  <c r="Q68" i="12"/>
  <c r="Q32" i="12"/>
  <c r="O74" i="12"/>
  <c r="Q74" i="12" s="1"/>
  <c r="O50" i="12"/>
  <c r="Q50" i="12" s="1"/>
  <c r="O26" i="12"/>
  <c r="Q26" i="12" s="1"/>
  <c r="P74" i="12"/>
  <c r="P50" i="12"/>
  <c r="P26" i="12"/>
  <c r="N57" i="12"/>
  <c r="N28" i="12"/>
  <c r="O49" i="12"/>
  <c r="Q49" i="12" s="1"/>
  <c r="P49" i="12"/>
  <c r="N27" i="12"/>
  <c r="O72" i="12"/>
  <c r="Q72" i="12" s="1"/>
  <c r="O60" i="12"/>
  <c r="Q60" i="12" s="1"/>
  <c r="O48" i="12"/>
  <c r="Q48" i="12" s="1"/>
  <c r="O36" i="12"/>
  <c r="Q36" i="12" s="1"/>
  <c r="O24" i="12"/>
  <c r="Q24" i="12" s="1"/>
  <c r="O12" i="12"/>
  <c r="Q12" i="12" s="1"/>
  <c r="P72" i="12"/>
  <c r="P60" i="12"/>
  <c r="P48" i="12"/>
  <c r="P36" i="12"/>
  <c r="P24" i="12"/>
  <c r="P12" i="12"/>
  <c r="R67" i="12"/>
  <c r="R52" i="12"/>
  <c r="R51" i="12"/>
  <c r="N23" i="12"/>
  <c r="O71" i="12"/>
  <c r="Q71" i="12" s="1"/>
  <c r="O59" i="12"/>
  <c r="Q59" i="12" s="1"/>
  <c r="O47" i="12"/>
  <c r="Q47" i="12" s="1"/>
  <c r="O35" i="12"/>
  <c r="Q35" i="12" s="1"/>
  <c r="O23" i="12"/>
  <c r="O11" i="12"/>
  <c r="Q11" i="12" s="1"/>
  <c r="P71" i="12"/>
  <c r="P59" i="12"/>
  <c r="P47" i="12"/>
  <c r="P35" i="12"/>
  <c r="P11" i="12"/>
  <c r="O46" i="12"/>
  <c r="Q46" i="12" s="1"/>
  <c r="P46" i="12"/>
  <c r="R69" i="12"/>
  <c r="R38" i="12"/>
  <c r="R21" i="12"/>
  <c r="R6" i="12"/>
  <c r="O69" i="12"/>
  <c r="Q69" i="12" s="1"/>
  <c r="O57" i="12"/>
  <c r="O33" i="12"/>
  <c r="Q33" i="12" s="1"/>
  <c r="O9" i="12"/>
  <c r="Q9" i="12" s="1"/>
  <c r="P69" i="12"/>
  <c r="P33" i="12"/>
  <c r="O66" i="12"/>
  <c r="Q66" i="12" s="1"/>
  <c r="O54" i="12"/>
  <c r="Q54" i="12" s="1"/>
  <c r="O42" i="12"/>
  <c r="Q42" i="12" s="1"/>
  <c r="O18" i="12"/>
  <c r="Q18" i="12" s="1"/>
  <c r="P66" i="12"/>
  <c r="P18" i="12"/>
  <c r="O67" i="12"/>
  <c r="Q67" i="12" s="1"/>
  <c r="O31" i="12"/>
  <c r="Q31" i="12" s="1"/>
  <c r="P19" i="12"/>
  <c r="N40" i="12"/>
  <c r="O65" i="12"/>
  <c r="Q65" i="12" s="1"/>
  <c r="O53" i="12"/>
  <c r="Q53" i="12" s="1"/>
  <c r="O41" i="12"/>
  <c r="Q41" i="12" s="1"/>
  <c r="O29" i="12"/>
  <c r="Q29" i="12" s="1"/>
  <c r="O17" i="12"/>
  <c r="Q17" i="12" s="1"/>
  <c r="O5" i="12"/>
  <c r="Q5" i="12" s="1"/>
  <c r="P65" i="12"/>
  <c r="P53" i="12"/>
  <c r="P29" i="12"/>
  <c r="P17" i="12"/>
  <c r="P5" i="12"/>
  <c r="O19" i="12"/>
  <c r="Q19" i="12" s="1"/>
  <c r="P67" i="12"/>
  <c r="N39" i="12"/>
  <c r="O64" i="12"/>
  <c r="Q64" i="12" s="1"/>
  <c r="O52" i="12"/>
  <c r="Q52" i="12" s="1"/>
  <c r="O40" i="12"/>
  <c r="Q40" i="12" s="1"/>
  <c r="O28" i="12"/>
  <c r="Q28" i="12" s="1"/>
  <c r="O16" i="12"/>
  <c r="Q16" i="12" s="1"/>
  <c r="O4" i="12"/>
  <c r="Q4" i="12" s="1"/>
  <c r="P64" i="12"/>
  <c r="P52" i="12"/>
  <c r="P16" i="12"/>
  <c r="P4" i="12"/>
  <c r="P31" i="12"/>
  <c r="R14" i="12"/>
  <c r="O63" i="12"/>
  <c r="Q63" i="12" s="1"/>
  <c r="O51" i="12"/>
  <c r="Q51" i="12" s="1"/>
  <c r="O39" i="12"/>
  <c r="Q39" i="12" s="1"/>
  <c r="O27" i="12"/>
  <c r="Q27" i="12" s="1"/>
  <c r="O15" i="12"/>
  <c r="Q15" i="12" s="1"/>
  <c r="O3" i="12"/>
  <c r="Q3" i="12" s="1"/>
  <c r="P63" i="12"/>
  <c r="P51" i="12"/>
  <c r="P15" i="12"/>
  <c r="P3" i="12"/>
  <c r="R65" i="12"/>
  <c r="R50" i="12"/>
  <c r="N2" i="12"/>
  <c r="R62" i="12"/>
  <c r="O2" i="12"/>
  <c r="Q2" i="12" s="1"/>
  <c r="R31" i="12"/>
  <c r="R16" i="12"/>
  <c r="R15" i="12"/>
  <c r="R54" i="12"/>
  <c r="R57" i="12"/>
  <c r="R42" i="12"/>
  <c r="R9" i="12"/>
  <c r="R45" i="12"/>
  <c r="R30" i="12"/>
  <c r="R49" i="12"/>
  <c r="R32" i="12"/>
  <c r="R17" i="12"/>
  <c r="R66" i="12"/>
  <c r="R33" i="12"/>
  <c r="R18" i="12"/>
  <c r="R36" i="12"/>
  <c r="R35" i="12"/>
  <c r="R19" i="12"/>
  <c r="R4" i="12"/>
  <c r="R3" i="12"/>
  <c r="R2" i="12"/>
  <c r="F69" i="13"/>
  <c r="F57" i="13"/>
  <c r="F45" i="13"/>
  <c r="F33" i="13"/>
  <c r="F21" i="13"/>
  <c r="F9" i="13"/>
  <c r="H70" i="13"/>
  <c r="F68" i="13"/>
  <c r="F56" i="13"/>
  <c r="F44" i="13"/>
  <c r="F32" i="13"/>
  <c r="F20" i="13"/>
  <c r="F8" i="13"/>
  <c r="H69" i="13"/>
  <c r="H57" i="13"/>
  <c r="H45" i="13"/>
  <c r="H33" i="13"/>
  <c r="H21" i="13"/>
  <c r="H9" i="13"/>
  <c r="R70" i="12"/>
  <c r="R58" i="12"/>
  <c r="R46" i="12"/>
  <c r="R34" i="12"/>
  <c r="R22" i="12"/>
  <c r="R10" i="12"/>
  <c r="F65" i="13"/>
  <c r="F53" i="13"/>
  <c r="F41" i="13"/>
  <c r="F29" i="13"/>
  <c r="F17" i="13"/>
  <c r="F5" i="13"/>
  <c r="H66" i="13"/>
  <c r="H54" i="13"/>
  <c r="H42" i="13"/>
  <c r="H6" i="13"/>
  <c r="H30" i="13"/>
  <c r="H18" i="13"/>
  <c r="H65" i="13"/>
  <c r="H53" i="13"/>
  <c r="H41" i="13"/>
  <c r="H29" i="13"/>
  <c r="F2" i="13"/>
  <c r="F74" i="13"/>
  <c r="F62" i="13"/>
  <c r="F50" i="13"/>
  <c r="F38" i="13"/>
  <c r="F26" i="13"/>
  <c r="F14" i="13"/>
  <c r="H2" i="13"/>
  <c r="H63" i="13"/>
  <c r="H51" i="13"/>
  <c r="H39" i="13"/>
  <c r="H27" i="13"/>
  <c r="H15" i="13"/>
  <c r="H3" i="13"/>
  <c r="F73" i="13"/>
  <c r="F61" i="13"/>
  <c r="F49" i="13"/>
  <c r="F37" i="13"/>
  <c r="F25" i="13"/>
  <c r="F13" i="13"/>
  <c r="H74" i="13"/>
  <c r="H62" i="13"/>
  <c r="H50" i="13"/>
  <c r="H38" i="13"/>
  <c r="H26" i="13"/>
  <c r="H14" i="13"/>
  <c r="AG17" i="14"/>
  <c r="H59" i="13" s="1"/>
  <c r="AG19" i="14"/>
  <c r="F23" i="13" s="1"/>
  <c r="AG15" i="14"/>
  <c r="Z7" i="14"/>
  <c r="AF7" i="14" s="1"/>
  <c r="G35" i="13" s="1"/>
  <c r="Z8" i="14"/>
  <c r="AF8" i="14" s="1"/>
  <c r="G74" i="13" s="1"/>
  <c r="Z25" i="14"/>
  <c r="Z23" i="14"/>
  <c r="Z18" i="14"/>
  <c r="AF18" i="14" s="1"/>
  <c r="E49" i="13" s="1"/>
  <c r="Z12" i="14"/>
  <c r="AF12" i="14" s="1"/>
  <c r="G71" i="13" s="1"/>
  <c r="Z11" i="14"/>
  <c r="AF11" i="14" s="1"/>
  <c r="G65" i="13" s="1"/>
  <c r="Z24" i="14"/>
  <c r="Z19" i="14"/>
  <c r="Z16" i="14"/>
  <c r="Z15" i="14"/>
  <c r="Z14" i="14"/>
  <c r="Z26" i="14"/>
  <c r="Z17" i="14"/>
  <c r="Z13" i="14"/>
  <c r="AF13" i="14" s="1"/>
  <c r="E48" i="13" s="1"/>
  <c r="Z22" i="14"/>
  <c r="Z10" i="14"/>
  <c r="AF10" i="14" s="1"/>
  <c r="E18" i="13" s="1"/>
  <c r="Z21" i="14"/>
  <c r="Z9" i="14"/>
  <c r="AF9" i="14" s="1"/>
  <c r="E17" i="13" s="1"/>
  <c r="Z20" i="14"/>
  <c r="I17" i="5"/>
  <c r="J17" i="5"/>
  <c r="J18" i="5"/>
  <c r="I18" i="5"/>
  <c r="J17" i="15" l="1"/>
  <c r="AF23" i="14"/>
  <c r="AF24" i="14"/>
  <c r="AF25" i="14"/>
  <c r="AF26" i="14"/>
  <c r="E21" i="13"/>
  <c r="I21" i="13" s="1"/>
  <c r="G48" i="13"/>
  <c r="I48" i="13" s="1"/>
  <c r="G4" i="13"/>
  <c r="G40" i="13"/>
  <c r="E20" i="13"/>
  <c r="E56" i="13"/>
  <c r="I56" i="13" s="1"/>
  <c r="J15" i="13"/>
  <c r="E27" i="13"/>
  <c r="G15" i="13"/>
  <c r="E19" i="13"/>
  <c r="E55" i="13"/>
  <c r="G43" i="13"/>
  <c r="G26" i="13"/>
  <c r="E30" i="13"/>
  <c r="G18" i="13"/>
  <c r="J18" i="13" s="1"/>
  <c r="G54" i="13"/>
  <c r="E58" i="13"/>
  <c r="G10" i="13"/>
  <c r="G46" i="13"/>
  <c r="E26" i="13"/>
  <c r="G29" i="13"/>
  <c r="E57" i="13"/>
  <c r="I57" i="13" s="1"/>
  <c r="G21" i="13"/>
  <c r="G57" i="13"/>
  <c r="E25" i="13"/>
  <c r="E61" i="13"/>
  <c r="I61" i="13" s="1"/>
  <c r="G13" i="13"/>
  <c r="G49" i="13"/>
  <c r="I49" i="13" s="1"/>
  <c r="E29" i="13"/>
  <c r="I29" i="13" s="1"/>
  <c r="E65" i="13"/>
  <c r="I65" i="13" s="1"/>
  <c r="G32" i="13"/>
  <c r="E36" i="13"/>
  <c r="E54" i="13"/>
  <c r="G60" i="13"/>
  <c r="E28" i="13"/>
  <c r="E64" i="13"/>
  <c r="E32" i="13"/>
  <c r="G38" i="13"/>
  <c r="J48" i="13"/>
  <c r="J43" i="13"/>
  <c r="AF14" i="14"/>
  <c r="AF15" i="14"/>
  <c r="AF16" i="14"/>
  <c r="E59" i="13" s="1"/>
  <c r="AF17" i="14"/>
  <c r="G59" i="13" s="1"/>
  <c r="E39" i="13"/>
  <c r="E69" i="13"/>
  <c r="G27" i="13"/>
  <c r="E31" i="13"/>
  <c r="E67" i="13"/>
  <c r="G19" i="13"/>
  <c r="G55" i="13"/>
  <c r="J67" i="13"/>
  <c r="E35" i="13"/>
  <c r="E71" i="13"/>
  <c r="G44" i="13"/>
  <c r="H68" i="13"/>
  <c r="H12" i="13"/>
  <c r="AF19" i="14"/>
  <c r="E23" i="13" s="1"/>
  <c r="AF20" i="14"/>
  <c r="G23" i="13" s="1"/>
  <c r="E3" i="13"/>
  <c r="G30" i="13"/>
  <c r="G66" i="13"/>
  <c r="E70" i="13"/>
  <c r="G58" i="13"/>
  <c r="E2" i="13"/>
  <c r="E38" i="13"/>
  <c r="G2" i="13"/>
  <c r="J2" i="13" s="1"/>
  <c r="G47" i="13"/>
  <c r="E6" i="13"/>
  <c r="I6" i="13" s="1"/>
  <c r="E45" i="13"/>
  <c r="I45" i="13" s="1"/>
  <c r="G69" i="13"/>
  <c r="E37" i="13"/>
  <c r="G25" i="13"/>
  <c r="J25" i="13" s="1"/>
  <c r="G61" i="13"/>
  <c r="E5" i="13"/>
  <c r="G5" i="13"/>
  <c r="G50" i="13"/>
  <c r="J54" i="13"/>
  <c r="E9" i="13"/>
  <c r="I9" i="13" s="1"/>
  <c r="S67" i="12" s="1" a="1"/>
  <c r="S67" i="12" s="1"/>
  <c r="U67" i="12" s="1"/>
  <c r="V67" i="12" s="1"/>
  <c r="G36" i="13"/>
  <c r="E4" i="13"/>
  <c r="E40" i="13"/>
  <c r="G28" i="13"/>
  <c r="G64" i="13"/>
  <c r="E44" i="13"/>
  <c r="I44" i="13" s="1"/>
  <c r="G11" i="13"/>
  <c r="G56" i="13"/>
  <c r="J27" i="13"/>
  <c r="AF21" i="14"/>
  <c r="AF22" i="14"/>
  <c r="J39" i="13"/>
  <c r="E60" i="13"/>
  <c r="I60" i="13" s="1"/>
  <c r="G3" i="13"/>
  <c r="G39" i="13"/>
  <c r="E43" i="13"/>
  <c r="I43" i="13" s="1"/>
  <c r="G31" i="13"/>
  <c r="J31" i="13" s="1"/>
  <c r="G67" i="13"/>
  <c r="E11" i="13"/>
  <c r="E47" i="13"/>
  <c r="G14" i="13"/>
  <c r="J5" i="13"/>
  <c r="T20" i="12" s="1" a="1"/>
  <c r="T20" i="12" s="1"/>
  <c r="W20" i="12" s="1"/>
  <c r="E15" i="13"/>
  <c r="E66" i="13"/>
  <c r="G6" i="13"/>
  <c r="E10" i="13"/>
  <c r="I10" i="13" s="1"/>
  <c r="E46" i="13"/>
  <c r="G70" i="13"/>
  <c r="J70" i="13" s="1"/>
  <c r="E14" i="13"/>
  <c r="J14" i="13" s="1"/>
  <c r="E50" i="13"/>
  <c r="I50" i="13" s="1"/>
  <c r="G17" i="13"/>
  <c r="I17" i="13" s="1"/>
  <c r="E74" i="13"/>
  <c r="I74" i="13" s="1"/>
  <c r="J60" i="13"/>
  <c r="G9" i="13"/>
  <c r="G45" i="13"/>
  <c r="E13" i="13"/>
  <c r="J13" i="13" s="1"/>
  <c r="G37" i="13"/>
  <c r="J37" i="13" s="1"/>
  <c r="G20" i="13"/>
  <c r="J55" i="13"/>
  <c r="Q57" i="12"/>
  <c r="Q23" i="12"/>
  <c r="T60" i="12" a="1"/>
  <c r="T60" i="12" s="1"/>
  <c r="W60" i="12" s="1"/>
  <c r="T14" i="12" a="1"/>
  <c r="T14" i="12" s="1"/>
  <c r="W14" i="12" s="1"/>
  <c r="T31" i="12" a="1"/>
  <c r="T31" i="12" s="1"/>
  <c r="W31" i="12" s="1"/>
  <c r="T39" i="12" a="1"/>
  <c r="T39" i="12" s="1"/>
  <c r="W39" i="12" s="1"/>
  <c r="S37" i="12" a="1"/>
  <c r="S37" i="12" s="1"/>
  <c r="U37" i="12" s="1"/>
  <c r="V37" i="12" s="1"/>
  <c r="S32" i="12" a="1"/>
  <c r="S32" i="12" s="1"/>
  <c r="U32" i="12" s="1"/>
  <c r="V32" i="12" s="1"/>
  <c r="S19" i="12" a="1"/>
  <c r="S19" i="12" s="1"/>
  <c r="U19" i="12" s="1"/>
  <c r="V19" i="12" s="1"/>
  <c r="S61" i="12" a="1"/>
  <c r="S61" i="12" s="1"/>
  <c r="U61" i="12" s="1"/>
  <c r="V61" i="12" s="1"/>
  <c r="S9" i="12" a="1"/>
  <c r="S9" i="12" s="1"/>
  <c r="U9" i="12" s="1"/>
  <c r="V9" i="12" s="1"/>
  <c r="J26" i="13"/>
  <c r="J38" i="13"/>
  <c r="J50" i="13"/>
  <c r="J9" i="13"/>
  <c r="S70" i="12" a="1"/>
  <c r="S70" i="12" s="1"/>
  <c r="U70" i="12" s="1"/>
  <c r="V70" i="12" s="1"/>
  <c r="J74" i="13"/>
  <c r="J21" i="13"/>
  <c r="I20" i="5"/>
  <c r="J20" i="5"/>
  <c r="I21" i="5"/>
  <c r="J21" i="5"/>
  <c r="I22" i="5"/>
  <c r="J22" i="5"/>
  <c r="J19" i="5"/>
  <c r="I19" i="5"/>
  <c r="T18" i="12" l="1" a="1"/>
  <c r="T18" i="12" s="1"/>
  <c r="W18" i="12" s="1"/>
  <c r="T74" i="12" a="1"/>
  <c r="T74" i="12" s="1"/>
  <c r="W74" i="12" s="1"/>
  <c r="S64" i="12" a="1"/>
  <c r="S64" i="12" s="1"/>
  <c r="U64" i="12" s="1"/>
  <c r="V64" i="12" s="1"/>
  <c r="S54" i="12" a="1"/>
  <c r="S54" i="12" s="1"/>
  <c r="U54" i="12" s="1"/>
  <c r="V54" i="12" s="1"/>
  <c r="S17" i="12" a="1"/>
  <c r="S17" i="12" s="1"/>
  <c r="U17" i="12" s="1"/>
  <c r="V17" i="12" s="1"/>
  <c r="S43" i="12" a="1"/>
  <c r="S43" i="12" s="1"/>
  <c r="U43" i="12" s="1"/>
  <c r="V43" i="12" s="1"/>
  <c r="S35" i="12" a="1"/>
  <c r="S35" i="12" s="1"/>
  <c r="U35" i="12" s="1"/>
  <c r="V35" i="12" s="1"/>
  <c r="T25" i="12" a="1"/>
  <c r="T25" i="12" s="1"/>
  <c r="W25" i="12" s="1"/>
  <c r="T44" i="12" a="1"/>
  <c r="T44" i="12" s="1"/>
  <c r="W44" i="12" s="1"/>
  <c r="T65" i="12" a="1"/>
  <c r="T65" i="12" s="1"/>
  <c r="W65" i="12" s="1"/>
  <c r="T13" i="12" a="1"/>
  <c r="T13" i="12" s="1"/>
  <c r="W13" i="12" s="1"/>
  <c r="T69" i="12" a="1"/>
  <c r="T69" i="12" s="1"/>
  <c r="W69" i="12" s="1"/>
  <c r="T30" i="12" a="1"/>
  <c r="T30" i="12" s="1"/>
  <c r="W30" i="12" s="1"/>
  <c r="T2" i="12" a="1"/>
  <c r="T2" i="12" s="1"/>
  <c r="W2" i="12" s="1"/>
  <c r="T27" i="12" a="1"/>
  <c r="T27" i="12" s="1"/>
  <c r="W27" i="12" s="1"/>
  <c r="I70" i="13"/>
  <c r="I36" i="13"/>
  <c r="J36" i="13"/>
  <c r="J65" i="13"/>
  <c r="J56" i="13"/>
  <c r="E53" i="13"/>
  <c r="E8" i="13"/>
  <c r="E42" i="13"/>
  <c r="E24" i="13"/>
  <c r="E73" i="13"/>
  <c r="E63" i="13"/>
  <c r="J49" i="13"/>
  <c r="I37" i="13"/>
  <c r="J71" i="13"/>
  <c r="T71" i="12" s="1" a="1"/>
  <c r="T71" i="12" s="1"/>
  <c r="W71" i="12" s="1"/>
  <c r="I71" i="13"/>
  <c r="S71" i="12" s="1" a="1"/>
  <c r="S71" i="12" s="1"/>
  <c r="U71" i="12" s="1"/>
  <c r="V71" i="12" s="1"/>
  <c r="J59" i="13"/>
  <c r="T59" i="12" s="1" a="1"/>
  <c r="T59" i="12" s="1"/>
  <c r="W59" i="12" s="1"/>
  <c r="X59" i="12" s="1"/>
  <c r="I59" i="13"/>
  <c r="S59" i="12" s="1" a="1"/>
  <c r="S59" i="12" s="1"/>
  <c r="U59" i="12" s="1"/>
  <c r="V59" i="12" s="1"/>
  <c r="J17" i="13"/>
  <c r="G62" i="13"/>
  <c r="G33" i="13"/>
  <c r="G7" i="13"/>
  <c r="G51" i="13"/>
  <c r="J35" i="13"/>
  <c r="I35" i="13"/>
  <c r="G68" i="13"/>
  <c r="G12" i="13"/>
  <c r="J47" i="13"/>
  <c r="I47" i="13"/>
  <c r="E7" i="13"/>
  <c r="E51" i="13"/>
  <c r="E33" i="13"/>
  <c r="E62" i="13"/>
  <c r="J40" i="13"/>
  <c r="I40" i="13"/>
  <c r="J3" i="13"/>
  <c r="I3" i="13"/>
  <c r="E12" i="13"/>
  <c r="E68" i="13"/>
  <c r="I20" i="13"/>
  <c r="J11" i="13"/>
  <c r="I11" i="13"/>
  <c r="J4" i="13"/>
  <c r="I4" i="13"/>
  <c r="S40" i="12" a="1"/>
  <c r="S40" i="12" s="1"/>
  <c r="U40" i="12" s="1"/>
  <c r="V40" i="12" s="1"/>
  <c r="S15" i="12" a="1"/>
  <c r="S15" i="12" s="1"/>
  <c r="U15" i="12" s="1"/>
  <c r="V15" i="12" s="1"/>
  <c r="S21" i="12" a="1"/>
  <c r="S21" i="12" s="1"/>
  <c r="U21" i="12" s="1"/>
  <c r="V21" i="12" s="1"/>
  <c r="I26" i="13"/>
  <c r="I55" i="13"/>
  <c r="G34" i="13"/>
  <c r="G72" i="13"/>
  <c r="G41" i="13"/>
  <c r="G22" i="13"/>
  <c r="G52" i="13"/>
  <c r="G16" i="13"/>
  <c r="I14" i="13"/>
  <c r="J6" i="13"/>
  <c r="J19" i="13"/>
  <c r="I19" i="13"/>
  <c r="E41" i="13"/>
  <c r="E34" i="13"/>
  <c r="E72" i="13"/>
  <c r="E22" i="13"/>
  <c r="E52" i="13"/>
  <c r="E16" i="13"/>
  <c r="I67" i="13"/>
  <c r="J61" i="13"/>
  <c r="I46" i="13"/>
  <c r="I31" i="13"/>
  <c r="I32" i="13"/>
  <c r="I25" i="13"/>
  <c r="J58" i="13"/>
  <c r="I58" i="13"/>
  <c r="I27" i="13"/>
  <c r="I13" i="13"/>
  <c r="J46" i="13"/>
  <c r="J23" i="13"/>
  <c r="T23" i="12" s="1" a="1"/>
  <c r="T23" i="12" s="1"/>
  <c r="W23" i="12" s="1"/>
  <c r="X23" i="12" s="1"/>
  <c r="I23" i="13"/>
  <c r="S23" i="12" s="1" a="1"/>
  <c r="S23" i="12" s="1"/>
  <c r="U23" i="12" s="1"/>
  <c r="V23" i="12" s="1"/>
  <c r="J64" i="13"/>
  <c r="I64" i="13"/>
  <c r="J57" i="13"/>
  <c r="J45" i="13"/>
  <c r="T5" i="12" a="1"/>
  <c r="T5" i="12" s="1"/>
  <c r="W5" i="12" s="1"/>
  <c r="J10" i="13"/>
  <c r="I38" i="13"/>
  <c r="I69" i="13"/>
  <c r="J28" i="13"/>
  <c r="I28" i="13"/>
  <c r="J44" i="13"/>
  <c r="J32" i="13"/>
  <c r="I18" i="13"/>
  <c r="S6" i="12" a="1"/>
  <c r="S6" i="12" s="1"/>
  <c r="U6" i="12" s="1"/>
  <c r="V6" i="12" s="1"/>
  <c r="T49" i="12" a="1"/>
  <c r="T49" i="12" s="1"/>
  <c r="W49" i="12" s="1"/>
  <c r="I66" i="13"/>
  <c r="I5" i="13"/>
  <c r="I2" i="13"/>
  <c r="I39" i="13"/>
  <c r="J30" i="13"/>
  <c r="I30" i="13"/>
  <c r="J29" i="13"/>
  <c r="S50" i="12" a="1"/>
  <c r="S50" i="12" s="1"/>
  <c r="U50" i="12" s="1"/>
  <c r="V50" i="12" s="1"/>
  <c r="J20" i="13"/>
  <c r="I15" i="13"/>
  <c r="J66" i="13"/>
  <c r="I54" i="13"/>
  <c r="J69" i="13"/>
  <c r="G73" i="13"/>
  <c r="G42" i="13"/>
  <c r="G8" i="13"/>
  <c r="G63" i="13"/>
  <c r="G24" i="13"/>
  <c r="G53" i="13"/>
  <c r="T66" i="12" a="1"/>
  <c r="T66" i="12" s="1"/>
  <c r="W66" i="12" s="1"/>
  <c r="T36" i="12" a="1"/>
  <c r="T36" i="12" s="1"/>
  <c r="W36" i="12" s="1"/>
  <c r="T45" i="12" a="1"/>
  <c r="T45" i="12" s="1"/>
  <c r="W45" i="12" s="1"/>
  <c r="T26" i="12" a="1"/>
  <c r="T26" i="12" s="1"/>
  <c r="W26" i="12" s="1"/>
  <c r="T55" i="12" a="1"/>
  <c r="T55" i="12" s="1"/>
  <c r="W55" i="12" s="1"/>
  <c r="T19" i="12" a="1"/>
  <c r="T19" i="12" s="1"/>
  <c r="W19" i="12" s="1"/>
  <c r="X19" i="12" s="1"/>
  <c r="T37" i="12" a="1"/>
  <c r="T37" i="12" s="1"/>
  <c r="W37" i="12" s="1"/>
  <c r="X37" i="12" s="1"/>
  <c r="T67" i="12" a="1"/>
  <c r="T67" i="12" s="1"/>
  <c r="W67" i="12" s="1"/>
  <c r="X67" i="12" s="1"/>
  <c r="T9" i="12" a="1"/>
  <c r="T9" i="12" s="1"/>
  <c r="W9" i="12" s="1"/>
  <c r="X9" i="12" s="1"/>
  <c r="I22" i="13" l="1"/>
  <c r="J22" i="13"/>
  <c r="I72" i="13"/>
  <c r="J72" i="13"/>
  <c r="I34" i="13"/>
  <c r="J34" i="13"/>
  <c r="S39" i="12" a="1"/>
  <c r="S39" i="12" s="1"/>
  <c r="U39" i="12" s="1"/>
  <c r="V39" i="12" s="1"/>
  <c r="X39" i="12" s="1"/>
  <c r="S14" i="12" a="1"/>
  <c r="S14" i="12" s="1"/>
  <c r="U14" i="12" s="1"/>
  <c r="V14" i="12" s="1"/>
  <c r="X14" i="12" s="1"/>
  <c r="S5" i="12" a="1"/>
  <c r="S5" i="12" s="1"/>
  <c r="U5" i="12" s="1"/>
  <c r="V5" i="12" s="1"/>
  <c r="S49" i="12" a="1"/>
  <c r="S49" i="12" s="1"/>
  <c r="U49" i="12" s="1"/>
  <c r="V49" i="12" s="1"/>
  <c r="S20" i="12" a="1"/>
  <c r="S20" i="12" s="1"/>
  <c r="U20" i="12" s="1"/>
  <c r="V20" i="12" s="1"/>
  <c r="X20" i="12" s="1"/>
  <c r="S60" i="12" a="1"/>
  <c r="S60" i="12" s="1"/>
  <c r="U60" i="12" s="1"/>
  <c r="V60" i="12" s="1"/>
  <c r="X60" i="12" s="1"/>
  <c r="S31" i="12" a="1"/>
  <c r="S31" i="12" s="1"/>
  <c r="U31" i="12" s="1"/>
  <c r="V31" i="12" s="1"/>
  <c r="X31" i="12" s="1"/>
  <c r="S65" i="12" a="1"/>
  <c r="S65" i="12" s="1"/>
  <c r="U65" i="12" s="1"/>
  <c r="V65" i="12" s="1"/>
  <c r="S44" i="12" a="1"/>
  <c r="S44" i="12" s="1"/>
  <c r="U44" i="12" s="1"/>
  <c r="V44" i="12" s="1"/>
  <c r="S25" i="12" a="1"/>
  <c r="S25" i="12" s="1"/>
  <c r="U25" i="12" s="1"/>
  <c r="V25" i="12" s="1"/>
  <c r="J16" i="13"/>
  <c r="I16" i="13"/>
  <c r="I7" i="13"/>
  <c r="J7" i="13"/>
  <c r="T43" i="12" a="1"/>
  <c r="T43" i="12" s="1"/>
  <c r="W43" i="12" s="1"/>
  <c r="X43" i="12" s="1"/>
  <c r="T17" i="12" a="1"/>
  <c r="T17" i="12" s="1"/>
  <c r="W17" i="12" s="1"/>
  <c r="X17" i="12" s="1"/>
  <c r="T64" i="12" a="1"/>
  <c r="T64" i="12" s="1"/>
  <c r="W64" i="12" s="1"/>
  <c r="X64" i="12" s="1"/>
  <c r="T54" i="12" a="1"/>
  <c r="T54" i="12" s="1"/>
  <c r="W54" i="12" s="1"/>
  <c r="X54" i="12" s="1"/>
  <c r="T35" i="12" a="1"/>
  <c r="T35" i="12" s="1"/>
  <c r="W35" i="12" s="1"/>
  <c r="X35" i="12" s="1"/>
  <c r="I8" i="13"/>
  <c r="J8" i="13"/>
  <c r="S13" i="12" a="1"/>
  <c r="S13" i="12" s="1"/>
  <c r="U13" i="12" s="1"/>
  <c r="V13" i="12" s="1"/>
  <c r="X13" i="12" s="1"/>
  <c r="S30" i="12" a="1"/>
  <c r="S30" i="12" s="1"/>
  <c r="U30" i="12" s="1"/>
  <c r="V30" i="12" s="1"/>
  <c r="X30" i="12" s="1"/>
  <c r="S69" i="12" a="1"/>
  <c r="S69" i="12" s="1"/>
  <c r="U69" i="12" s="1"/>
  <c r="V69" i="12" s="1"/>
  <c r="X71" i="12"/>
  <c r="X49" i="12"/>
  <c r="T6" i="12" a="1"/>
  <c r="T6" i="12" s="1"/>
  <c r="W6" i="12" s="1"/>
  <c r="X6" i="12" s="1"/>
  <c r="T15" i="12" a="1"/>
  <c r="T15" i="12" s="1"/>
  <c r="W15" i="12" s="1"/>
  <c r="X15" i="12" s="1"/>
  <c r="T50" i="12" a="1"/>
  <c r="T50" i="12" s="1"/>
  <c r="W50" i="12" s="1"/>
  <c r="X50" i="12" s="1"/>
  <c r="T21" i="12" a="1"/>
  <c r="T21" i="12" s="1"/>
  <c r="W21" i="12" s="1"/>
  <c r="X21" i="12" s="1"/>
  <c r="T70" i="12" a="1"/>
  <c r="T70" i="12" s="1"/>
  <c r="W70" i="12" s="1"/>
  <c r="X70" i="12" s="1"/>
  <c r="T32" i="12" a="1"/>
  <c r="T32" i="12" s="1"/>
  <c r="W32" i="12" s="1"/>
  <c r="X32" i="12" s="1"/>
  <c r="T61" i="12" a="1"/>
  <c r="T61" i="12" s="1"/>
  <c r="W61" i="12" s="1"/>
  <c r="X61" i="12" s="1"/>
  <c r="T40" i="12" a="1"/>
  <c r="T40" i="12" s="1"/>
  <c r="W40" i="12" s="1"/>
  <c r="X40" i="12" s="1"/>
  <c r="S46" i="12" a="1"/>
  <c r="S46" i="12" s="1"/>
  <c r="U46" i="12" s="1"/>
  <c r="V46" i="12" s="1"/>
  <c r="S56" i="12" a="1"/>
  <c r="S56" i="12" s="1"/>
  <c r="U56" i="12" s="1"/>
  <c r="V56" i="12" s="1"/>
  <c r="T56" i="12" a="1"/>
  <c r="T56" i="12" s="1"/>
  <c r="W56" i="12" s="1"/>
  <c r="T46" i="12" a="1"/>
  <c r="T46" i="12" s="1"/>
  <c r="W46" i="12" s="1"/>
  <c r="J52" i="13"/>
  <c r="I52" i="13"/>
  <c r="I53" i="13"/>
  <c r="J53" i="13"/>
  <c r="X65" i="12"/>
  <c r="X44" i="12"/>
  <c r="X25" i="12"/>
  <c r="S2" i="12" a="1"/>
  <c r="S2" i="12" s="1"/>
  <c r="U2" i="12" s="1"/>
  <c r="V2" i="12" s="1"/>
  <c r="X2" i="12" s="1"/>
  <c r="S27" i="12" a="1"/>
  <c r="S27" i="12" s="1"/>
  <c r="U27" i="12" s="1"/>
  <c r="V27" i="12" s="1"/>
  <c r="I41" i="13"/>
  <c r="J41" i="13"/>
  <c r="S10" i="12" a="1"/>
  <c r="S10" i="12" s="1"/>
  <c r="U10" i="12" s="1"/>
  <c r="V10" i="12" s="1"/>
  <c r="S38" i="12" a="1"/>
  <c r="S38" i="12" s="1"/>
  <c r="U38" i="12" s="1"/>
  <c r="V38" i="12" s="1"/>
  <c r="S47" i="12" a="1"/>
  <c r="S47" i="12" s="1"/>
  <c r="U47" i="12" s="1"/>
  <c r="V47" i="12" s="1"/>
  <c r="S28" i="12" a="1"/>
  <c r="S28" i="12" s="1"/>
  <c r="U28" i="12" s="1"/>
  <c r="V28" i="12" s="1"/>
  <c r="S57" i="12" a="1"/>
  <c r="S57" i="12" s="1"/>
  <c r="U57" i="12" s="1"/>
  <c r="V57" i="12" s="1"/>
  <c r="S3" i="12" a="1"/>
  <c r="S3" i="12" s="1"/>
  <c r="U3" i="12" s="1"/>
  <c r="V3" i="12" s="1"/>
  <c r="I68" i="13"/>
  <c r="J68" i="13"/>
  <c r="S36" i="12" a="1"/>
  <c r="S36" i="12" s="1"/>
  <c r="U36" i="12" s="1"/>
  <c r="V36" i="12" s="1"/>
  <c r="S45" i="12" a="1"/>
  <c r="S45" i="12" s="1"/>
  <c r="U45" i="12" s="1"/>
  <c r="V45" i="12" s="1"/>
  <c r="X45" i="12" s="1"/>
  <c r="S55" i="12" a="1"/>
  <c r="S55" i="12" s="1"/>
  <c r="U55" i="12" s="1"/>
  <c r="V55" i="12" s="1"/>
  <c r="X55" i="12" s="1"/>
  <c r="S66" i="12" a="1"/>
  <c r="S66" i="12" s="1"/>
  <c r="U66" i="12" s="1"/>
  <c r="V66" i="12" s="1"/>
  <c r="X66" i="12" s="1"/>
  <c r="S26" i="12" a="1"/>
  <c r="S26" i="12" s="1"/>
  <c r="U26" i="12" s="1"/>
  <c r="V26" i="12" s="1"/>
  <c r="X26" i="12" s="1"/>
  <c r="T38" i="12" a="1"/>
  <c r="T38" i="12" s="1"/>
  <c r="W38" i="12" s="1"/>
  <c r="X38" i="12" s="1"/>
  <c r="T10" i="12" a="1"/>
  <c r="T10" i="12" s="1"/>
  <c r="W10" i="12" s="1"/>
  <c r="T57" i="12" a="1"/>
  <c r="T57" i="12" s="1"/>
  <c r="W57" i="12" s="1"/>
  <c r="T3" i="12" a="1"/>
  <c r="T3" i="12" s="1"/>
  <c r="W3" i="12" s="1"/>
  <c r="X3" i="12" s="1"/>
  <c r="T47" i="12" a="1"/>
  <c r="T47" i="12" s="1"/>
  <c r="W47" i="12" s="1"/>
  <c r="X47" i="12" s="1"/>
  <c r="T28" i="12" a="1"/>
  <c r="T28" i="12" s="1"/>
  <c r="W28" i="12" s="1"/>
  <c r="X28" i="12" s="1"/>
  <c r="I63" i="13"/>
  <c r="J63" i="13"/>
  <c r="X27" i="12"/>
  <c r="X5" i="12"/>
  <c r="I62" i="13"/>
  <c r="J62" i="13"/>
  <c r="I73" i="13"/>
  <c r="J73" i="13"/>
  <c r="J12" i="13"/>
  <c r="I12" i="13"/>
  <c r="S74" i="12" a="1"/>
  <c r="S74" i="12" s="1"/>
  <c r="U74" i="12" s="1"/>
  <c r="V74" i="12" s="1"/>
  <c r="X74" i="12" s="1"/>
  <c r="S18" i="12" a="1"/>
  <c r="S18" i="12" s="1"/>
  <c r="U18" i="12" s="1"/>
  <c r="V18" i="12" s="1"/>
  <c r="X18" i="12" s="1"/>
  <c r="S58" i="12" a="1"/>
  <c r="S58" i="12" s="1"/>
  <c r="U58" i="12" s="1"/>
  <c r="V58" i="12" s="1"/>
  <c r="S11" i="12" a="1"/>
  <c r="S11" i="12" s="1"/>
  <c r="U11" i="12" s="1"/>
  <c r="V11" i="12" s="1"/>
  <c r="S4" i="12" a="1"/>
  <c r="S4" i="12" s="1"/>
  <c r="U4" i="12" s="1"/>
  <c r="V4" i="12" s="1"/>
  <c r="S48" i="12" a="1"/>
  <c r="S48" i="12" s="1"/>
  <c r="U48" i="12" s="1"/>
  <c r="V48" i="12" s="1"/>
  <c r="S29" i="12" a="1"/>
  <c r="S29" i="12" s="1"/>
  <c r="U29" i="12" s="1"/>
  <c r="V29" i="12" s="1"/>
  <c r="I33" i="13"/>
  <c r="J33" i="13"/>
  <c r="I24" i="13"/>
  <c r="J24" i="13"/>
  <c r="X36" i="12"/>
  <c r="T29" i="12" a="1"/>
  <c r="T29" i="12" s="1"/>
  <c r="W29" i="12" s="1"/>
  <c r="X29" i="12" s="1"/>
  <c r="T48" i="12" a="1"/>
  <c r="T48" i="12" s="1"/>
  <c r="W48" i="12" s="1"/>
  <c r="X48" i="12" s="1"/>
  <c r="T4" i="12" a="1"/>
  <c r="T4" i="12" s="1"/>
  <c r="W4" i="12" s="1"/>
  <c r="T11" i="12" a="1"/>
  <c r="T11" i="12" s="1"/>
  <c r="W11" i="12" s="1"/>
  <c r="X11" i="12" s="1"/>
  <c r="T58" i="12" a="1"/>
  <c r="T58" i="12" s="1"/>
  <c r="W58" i="12" s="1"/>
  <c r="I51" i="13"/>
  <c r="J51" i="13"/>
  <c r="I42" i="13"/>
  <c r="J42" i="13"/>
  <c r="X69" i="12"/>
  <c r="X4" i="12" l="1"/>
  <c r="X46" i="12"/>
  <c r="X56" i="12"/>
  <c r="T33" i="12" a="1"/>
  <c r="T33" i="12" s="1"/>
  <c r="W33" i="12" s="1"/>
  <c r="T51" i="12" a="1"/>
  <c r="T51" i="12" s="1"/>
  <c r="W51" i="12" s="1"/>
  <c r="T62" i="12" a="1"/>
  <c r="T62" i="12" s="1"/>
  <c r="W62" i="12" s="1"/>
  <c r="T7" i="12" a="1"/>
  <c r="T7" i="12" s="1"/>
  <c r="W7" i="12" s="1"/>
  <c r="S7" i="12" a="1"/>
  <c r="S7" i="12" s="1"/>
  <c r="U7" i="12" s="1"/>
  <c r="V7" i="12" s="1"/>
  <c r="S62" i="12" a="1"/>
  <c r="S62" i="12" s="1"/>
  <c r="U62" i="12" s="1"/>
  <c r="V62" i="12" s="1"/>
  <c r="S51" i="12" a="1"/>
  <c r="S51" i="12" s="1"/>
  <c r="U51" i="12" s="1"/>
  <c r="V51" i="12" s="1"/>
  <c r="S33" i="12" a="1"/>
  <c r="S33" i="12" s="1"/>
  <c r="U33" i="12" s="1"/>
  <c r="V33" i="12" s="1"/>
  <c r="S52" i="12" a="1"/>
  <c r="S52" i="12" s="1"/>
  <c r="U52" i="12" s="1"/>
  <c r="V52" i="12" s="1"/>
  <c r="S22" i="12" a="1"/>
  <c r="S22" i="12" s="1"/>
  <c r="U22" i="12" s="1"/>
  <c r="V22" i="12" s="1"/>
  <c r="S72" i="12" a="1"/>
  <c r="S72" i="12" s="1"/>
  <c r="U72" i="12" s="1"/>
  <c r="V72" i="12" s="1"/>
  <c r="S34" i="12" a="1"/>
  <c r="S34" i="12" s="1"/>
  <c r="U34" i="12" s="1"/>
  <c r="V34" i="12" s="1"/>
  <c r="S41" i="12" a="1"/>
  <c r="S41" i="12" s="1"/>
  <c r="U41" i="12" s="1"/>
  <c r="V41" i="12" s="1"/>
  <c r="S16" i="12" a="1"/>
  <c r="S16" i="12" s="1"/>
  <c r="U16" i="12" s="1"/>
  <c r="V16" i="12" s="1"/>
  <c r="T16" i="12" a="1"/>
  <c r="T16" i="12" s="1"/>
  <c r="W16" i="12" s="1"/>
  <c r="X16" i="12" s="1"/>
  <c r="T52" i="12" a="1"/>
  <c r="T52" i="12" s="1"/>
  <c r="W52" i="12" s="1"/>
  <c r="X52" i="12" s="1"/>
  <c r="T22" i="12" a="1"/>
  <c r="T22" i="12" s="1"/>
  <c r="W22" i="12" s="1"/>
  <c r="X22" i="12" s="1"/>
  <c r="T72" i="12" a="1"/>
  <c r="T72" i="12" s="1"/>
  <c r="W72" i="12" s="1"/>
  <c r="X72" i="12" s="1"/>
  <c r="T41" i="12" a="1"/>
  <c r="T41" i="12" s="1"/>
  <c r="W41" i="12" s="1"/>
  <c r="X41" i="12" s="1"/>
  <c r="T34" i="12" a="1"/>
  <c r="T34" i="12" s="1"/>
  <c r="W34" i="12" s="1"/>
  <c r="X34" i="12" s="1"/>
  <c r="S68" i="12" a="1"/>
  <c r="S68" i="12" s="1"/>
  <c r="U68" i="12" s="1"/>
  <c r="V68" i="12" s="1"/>
  <c r="S12" i="12" a="1"/>
  <c r="S12" i="12" s="1"/>
  <c r="U12" i="12" s="1"/>
  <c r="V12" i="12" s="1"/>
  <c r="T12" i="12" a="1"/>
  <c r="T12" i="12" s="1"/>
  <c r="W12" i="12" s="1"/>
  <c r="X12" i="12" s="1"/>
  <c r="T68" i="12" a="1"/>
  <c r="T68" i="12" s="1"/>
  <c r="W68" i="12" s="1"/>
  <c r="T8" i="12" a="1"/>
  <c r="T8" i="12" s="1"/>
  <c r="W8" i="12" s="1"/>
  <c r="T24" i="12" a="1"/>
  <c r="T24" i="12" s="1"/>
  <c r="W24" i="12" s="1"/>
  <c r="X24" i="12" s="1"/>
  <c r="T73" i="12" a="1"/>
  <c r="T73" i="12" s="1"/>
  <c r="W73" i="12" s="1"/>
  <c r="T53" i="12" a="1"/>
  <c r="T53" i="12" s="1"/>
  <c r="W53" i="12" s="1"/>
  <c r="T42" i="12" a="1"/>
  <c r="T42" i="12" s="1"/>
  <c r="W42" i="12" s="1"/>
  <c r="X42" i="12" s="1"/>
  <c r="T63" i="12" a="1"/>
  <c r="T63" i="12" s="1"/>
  <c r="W63" i="12" s="1"/>
  <c r="X63" i="12" s="1"/>
  <c r="S53" i="12" a="1"/>
  <c r="S53" i="12" s="1"/>
  <c r="U53" i="12" s="1"/>
  <c r="V53" i="12" s="1"/>
  <c r="S63" i="12" a="1"/>
  <c r="S63" i="12" s="1"/>
  <c r="U63" i="12" s="1"/>
  <c r="V63" i="12" s="1"/>
  <c r="S73" i="12" a="1"/>
  <c r="S73" i="12" s="1"/>
  <c r="U73" i="12" s="1"/>
  <c r="V73" i="12" s="1"/>
  <c r="S42" i="12" a="1"/>
  <c r="S42" i="12" s="1"/>
  <c r="U42" i="12" s="1"/>
  <c r="V42" i="12" s="1"/>
  <c r="S24" i="12" a="1"/>
  <c r="S24" i="12" s="1"/>
  <c r="U24" i="12" s="1"/>
  <c r="V24" i="12" s="1"/>
  <c r="S8" i="12" a="1"/>
  <c r="S8" i="12" s="1"/>
  <c r="U8" i="12" s="1"/>
  <c r="V8" i="12" s="1"/>
  <c r="X58" i="12"/>
  <c r="X57" i="12"/>
  <c r="X10" i="12"/>
  <c r="X7" i="12" l="1"/>
  <c r="X73" i="12"/>
  <c r="X62" i="12"/>
  <c r="X51" i="12"/>
  <c r="X8" i="12"/>
  <c r="X33" i="12"/>
  <c r="X68" i="12"/>
  <c r="X53"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<sst xmlns="http://schemas.openxmlformats.org/spreadsheetml/2006/main" count="822" uniqueCount="166">
  <si>
    <t>This workbook acts as a template for {mocaredd} the Monte Carlo simulations tool for REDD+ uncertainty analysis</t>
  </si>
  <si>
    <t>Users can build as many tabs as desired but need the 4 building blocks to process a REDD+ carbon accouting and the asosciated incertainty:</t>
  </si>
  <si>
    <t xml:space="preserve">user_inputs: 
describes a few parameters to allow the tool to handle as many configurations as possible.
time_periods: 
describes the diiferent time periods used for building the reference period and the monitoring period(s).
AD_lu_transitions: 
describes the areas of land use/land cover change that generate emissions and or removals.
c_stocks: 
describes the carbon elements necessary to build emission and removal factors associated with the land use transitions </t>
  </si>
  <si>
    <t>Core interactions</t>
  </si>
  <si>
    <t>1. The land use IDs entered in the tab "AD_lu_transitions" (lu_initial_id" and "lu_final_id") must be the same as the land use IDs described in "c_stocks" to match activity data and emission factors
2.  Carbon pools AGB and BGB (if not expressed as a root-to-shoot ratio) are either reported as tons of dry matter (DM) or of carbon. If dry matter, a carbon fraction must be entered in "user_inputs" with, if possible, a standard error so that random simulations with be generated for the caron fraction.
3. Degraded land uses must be coded with the same ID as their intact equivalent with a consistent extension (for ex. "ev_deg" is the degraded land use of "ev") and the extension should be noted in the field "dg_ext"of the tab "user_inputs".</t>
  </si>
  <si>
    <t>How is the data used by {mocaredd}</t>
  </si>
  <si>
    <t>Upon uploading the data, the app runs 4 processes: (1) check the data to ensure it allows to construct emission factors matching the activity data and generate emission reductions, (2) build the carbon accounting calculations with arithmetic means to give a first idea of the volume of emission reductions, (3) run monte carlo simulations and provide simulation-based emission reductions for the monitoring period(s) desired with their aggregated uncertainty level and (4) turn off the variability of part of the input data to determine their contribution to the overall uncertainty (sensitivity analysis).</t>
  </si>
  <si>
    <t>Note</t>
  </si>
  <si>
    <t xml:space="preserve">For the sake of comparability, all calculations related to emission factors are rounded to 5 digits and all calculations related to activity data and emissions </t>
  </si>
  <si>
    <t>input_name</t>
  </si>
  <si>
    <t>input_description</t>
  </si>
  <si>
    <t>trunc_pdf</t>
  </si>
  <si>
    <t>Use truncated distributions to avoid negative values were illogical (TRUE or FALSE)</t>
  </si>
  <si>
    <t>n_iter</t>
  </si>
  <si>
    <t>How many simulations (Default 10,000)</t>
  </si>
  <si>
    <t>ran_seed</t>
  </si>
  <si>
    <t>Use a seed to reproduce random simulations (recommend setting to NULL the first time)</t>
  </si>
  <si>
    <t>c_unit</t>
  </si>
  <si>
    <t>What is the unit of AGB and BGB if included (DM for dry matter or C for carbon)</t>
  </si>
  <si>
    <t>c_fraction</t>
  </si>
  <si>
    <t xml:space="preserve">Carbon fraction value, mandatory if c_unit is "DM" </t>
  </si>
  <si>
    <t>c_fraction_se</t>
  </si>
  <si>
    <t xml:space="preserve">Carbon fraction standard error, mandatory if c_unit is "DM" </t>
  </si>
  <si>
    <t>c_fraction_pdf</t>
  </si>
  <si>
    <t xml:space="preserve">Carbon fraction PDF, mandatory if c_unit is "DM" </t>
  </si>
  <si>
    <t>dg_ext</t>
  </si>
  <si>
    <t>extension for degradation land use (ex. "_deg") for the code to identify degradaed LU and their corresponding intact class</t>
  </si>
  <si>
    <t>dg_pool</t>
  </si>
  <si>
    <t>If degradation is a ratio of intact forest Cstock, list of pools separated by coma. Any combination of AGB, BGB, DW, LI, SOC or NA if not applicable. Note: the pools not listed in dg_pool will be excluded when calculating the initial vs final Cstocks</t>
  </si>
  <si>
    <t>ad_annual</t>
  </si>
  <si>
    <t>Is AD reported in ha/year or in ha (TRUE or FALSE resp.)</t>
  </si>
  <si>
    <t>conf_level</t>
  </si>
  <si>
    <t>Confidence level (1 - alpha) between 0 and 1</t>
  </si>
  <si>
    <t>DM</t>
  </si>
  <si>
    <t>normal</t>
  </si>
  <si>
    <t>ALL</t>
  </si>
  <si>
    <t>period_no</t>
  </si>
  <si>
    <t>year_start</t>
  </si>
  <si>
    <t>year_end</t>
  </si>
  <si>
    <t>period_type</t>
  </si>
  <si>
    <t>T1</t>
  </si>
  <si>
    <t>REF</t>
  </si>
  <si>
    <t>T2</t>
  </si>
  <si>
    <t>T3</t>
  </si>
  <si>
    <t>T4</t>
  </si>
  <si>
    <t>T5</t>
  </si>
  <si>
    <t>T6</t>
  </si>
  <si>
    <t>T7</t>
  </si>
  <si>
    <t>MON2</t>
  </si>
  <si>
    <t>T8</t>
  </si>
  <si>
    <t>trans_no</t>
  </si>
  <si>
    <t>trans_period</t>
  </si>
  <si>
    <t>trans_area</t>
  </si>
  <si>
    <t>trans_se</t>
  </si>
  <si>
    <t>trans_pdf</t>
  </si>
  <si>
    <t>trans_pdf_a</t>
  </si>
  <si>
    <t>trans_pdf_b</t>
  </si>
  <si>
    <t>trans_pdf_c</t>
  </si>
  <si>
    <t>lu_initial</t>
  </si>
  <si>
    <t>lu_final</t>
  </si>
  <si>
    <t>redd_activity</t>
  </si>
  <si>
    <t>THF</t>
  </si>
  <si>
    <t>GL</t>
  </si>
  <si>
    <t>DF</t>
  </si>
  <si>
    <t>WD</t>
  </si>
  <si>
    <t>FPc</t>
  </si>
  <si>
    <t>CP_a</t>
  </si>
  <si>
    <t>FPnc</t>
  </si>
  <si>
    <t>CP_p</t>
  </si>
  <si>
    <t>THF_log</t>
  </si>
  <si>
    <t>THF_log_deg</t>
  </si>
  <si>
    <t>DG</t>
  </si>
  <si>
    <t>WD_log</t>
  </si>
  <si>
    <t>WD_log_deg</t>
  </si>
  <si>
    <t>WD_charc</t>
  </si>
  <si>
    <t>WD_charc_deg</t>
  </si>
  <si>
    <t>WD_other</t>
  </si>
  <si>
    <t>WD_other_deg</t>
  </si>
  <si>
    <t>WD_fire</t>
  </si>
  <si>
    <t>WD_fire_deg</t>
  </si>
  <si>
    <t>THF_otha</t>
  </si>
  <si>
    <t>THF_otha_deg</t>
  </si>
  <si>
    <t>Set</t>
  </si>
  <si>
    <t>c_no</t>
  </si>
  <si>
    <t>c_period</t>
  </si>
  <si>
    <t>c_element</t>
  </si>
  <si>
    <t>c_value</t>
  </si>
  <si>
    <t>c_se</t>
  </si>
  <si>
    <t>c_pdf</t>
  </si>
  <si>
    <t>c_pdf_a</t>
  </si>
  <si>
    <t>c_pdf_b</t>
  </si>
  <si>
    <t>c_pdf_c</t>
  </si>
  <si>
    <t>AGB</t>
  </si>
  <si>
    <t>RS</t>
  </si>
  <si>
    <t>DG_ratio</t>
  </si>
  <si>
    <t>beta</t>
  </si>
  <si>
    <t>Plantations commercial</t>
  </si>
  <si>
    <t>Plantations non commercial</t>
  </si>
  <si>
    <t>Tropical High Forest</t>
  </si>
  <si>
    <t>Woodlands</t>
  </si>
  <si>
    <t>Tropical High Forest Degraded</t>
  </si>
  <si>
    <t>WD_deg</t>
  </si>
  <si>
    <t>Woodlands_Degraded</t>
  </si>
  <si>
    <t>NF</t>
  </si>
  <si>
    <t>Non Forest</t>
  </si>
  <si>
    <t>CP</t>
  </si>
  <si>
    <t>Cropland</t>
  </si>
  <si>
    <t>Grassland</t>
  </si>
  <si>
    <t>Settlement</t>
  </si>
  <si>
    <t>Woodlands_Degraded_by_fire</t>
  </si>
  <si>
    <t>Woodlands_Degraded_by_logging</t>
  </si>
  <si>
    <t>Woodlands_Degraded_by_charcoal</t>
  </si>
  <si>
    <t>Woodlands_Degraded_by_other</t>
  </si>
  <si>
    <t>Cropland_perennial</t>
  </si>
  <si>
    <t>Cropland_annual</t>
  </si>
  <si>
    <t>Tropical High Forest Degraded by other</t>
  </si>
  <si>
    <t>Tropical High Forest Degraded by logging</t>
  </si>
  <si>
    <t>NA</t>
  </si>
  <si>
    <t>THF_deg</t>
  </si>
  <si>
    <t>Code</t>
  </si>
  <si>
    <t>Label</t>
  </si>
  <si>
    <t>NumCode</t>
  </si>
  <si>
    <t>Num</t>
  </si>
  <si>
    <t>NumLabel</t>
  </si>
  <si>
    <t>c_lu</t>
  </si>
  <si>
    <t>C</t>
  </si>
  <si>
    <t>CF</t>
  </si>
  <si>
    <t>digits</t>
  </si>
  <si>
    <t>"_deg"</t>
  </si>
  <si>
    <t>lu_init_label</t>
  </si>
  <si>
    <t>lu_final_label</t>
  </si>
  <si>
    <t>cs_initial</t>
  </si>
  <si>
    <t>cs_final</t>
  </si>
  <si>
    <t>efrf</t>
  </si>
  <si>
    <t>Sum of c_value</t>
  </si>
  <si>
    <t>Values</t>
  </si>
  <si>
    <t>carbon_stock</t>
  </si>
  <si>
    <t>carbon_stock_wDG</t>
  </si>
  <si>
    <t>opt_c_lu_label</t>
  </si>
  <si>
    <t>opt_c_uperc</t>
  </si>
  <si>
    <t>Sum of opt_c_uperc</t>
  </si>
  <si>
    <t>Uperc</t>
  </si>
  <si>
    <t>Uperc_wDG</t>
  </si>
  <si>
    <t>DG_ratio_key</t>
  </si>
  <si>
    <t>DG_ratio_find</t>
  </si>
  <si>
    <t>LU_intact</t>
  </si>
  <si>
    <t>c_lu2</t>
  </si>
  <si>
    <t>cs_initial_uperc</t>
  </si>
  <si>
    <t>cs_final_uperc</t>
  </si>
  <si>
    <t>efrf_uperc</t>
  </si>
  <si>
    <t>EFRF</t>
  </si>
  <si>
    <t>EFRF_Uperc</t>
  </si>
  <si>
    <t>trans_uperc</t>
  </si>
  <si>
    <t>E</t>
  </si>
  <si>
    <t>E_uperc</t>
  </si>
  <si>
    <t>nb_years</t>
  </si>
  <si>
    <t>E_year</t>
  </si>
  <si>
    <t>Sum of E_year</t>
  </si>
  <si>
    <t>ExUperc2</t>
  </si>
  <si>
    <t>Sum of ExUperc2</t>
  </si>
  <si>
    <t>FREL</t>
  </si>
  <si>
    <t>ERRs</t>
  </si>
  <si>
    <t>ExY</t>
  </si>
  <si>
    <t>ExYxU2</t>
  </si>
  <si>
    <t>tCO2e/year</t>
  </si>
  <si>
    <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</si>
</sst>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00_-;\-* #,##0.00_-;_-* &quot;-&quot;??_-;_-@_-"/>
    <numFmt numFmtId="165" formatCode="0.0"/>
    <numFmt numFmtId="166" formatCode="0.00000"/>
  </numFmts>
  <fonts count="15" x14ac:knownFonts="1">
    <font>
      <sz val="10"/>
      <color rgb="FF000000"/>
      <name val="Arial"/>
      <charset val="134"/>
      <scheme val="minor"/>
    </font>
    <font>
      <b/>
      <sz val="12"/>
      <color theme="1"/>
      <name val="Arial"/>
      <family val="2"/>
    </font>
    <font>
      <sz val="10"/>
      <color theme="1"/>
      <name val="Arial"/>
      <family val="2"/>
    </font>
    <font>
      <sz val="10"/>
      <color rgb="FF000000"/>
      <name val="Arial"/>
      <family val="2"/>
    </font>
    <font>
      <sz val="12"/>
      <color rgb="FF000000"/>
      <name val="Arial"/>
      <family val="2"/>
      <scheme val="minor"/>
    </font>
    <font>
      <b/>
      <sz val="12"/>
      <color theme="1"/>
      <name val="Arial"/>
      <family val="2"/>
      <scheme val="minor"/>
    </font>
    <font>
      <b/>
      <sz val="12"/>
      <color rgb="FF000000"/>
      <name val="Arial"/>
      <family val="2"/>
      <scheme val="minor"/>
    </font>
    <font>
      <sz val="10"/>
      <color theme="1"/>
      <name val="Arial"/>
      <family val="2"/>
      <scheme val="minor"/>
    </font>
    <font>
      <sz val="10"/>
      <color rgb="FF000000"/>
      <name val="Arial"/>
      <family val="2"/>
      <scheme val="minor"/>
    </font>
    <font>
      <sz val="11"/>
      <color theme="1"/>
      <name val="Arial"/>
      <family val="2"/>
      <scheme val="minor"/>
    </font>
    <font>
      <sz val="8"/>
      <name val="Arial"/>
      <family val="2"/>
      <scheme val="minor"/>
    </font>
    <font>
      <b/>
      <sz val="10"/>
      <name val="Arial"/>
      <family val="2"/>
      <scheme val="minor"/>
    </font>
    <font>
      <sz val="12"/>
      <color rgb="FF000000"/>
      <name val="Arial (Body)"/>
    </font>
    <font>
      <b/>
      <sz val="10"/>
      <color rgb="FF000000"/>
      <name val="Arial"/>
      <family val="2"/>
    </font>
    <font>
      <b/>
      <sz val="10"/>
      <color rgb="FF000000"/>
      <name val="Arial"/>
      <family val="2"/>
      <scheme val="minor"/>
    </font>
  </fonts>
  <fills count="6">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9" tint="0.79998168889431442"/>
        <bgColor indexed="64"/>
      </patternFill>
    </fill>
  </fills>
  <borders count="1">
    <border>
      <left/>
      <right/>
      <top/>
      <bottom/>
      <diagonal/>
    </border>
  </borders>
  <cellStyleXfs count="3">
    <xf numFmtId="0" fontId="0" fillId="0" borderId="0"/>
    <xf numFmtId="164" fontId="9" fillId="0" borderId="0" applyFont="0" applyFill="0" applyBorder="0" applyAlignment="0" applyProtection="0">
      <alignment vertical="center"/>
    </xf>
    <xf numFmtId="0" fontId="8" fillId="0" borderId="0"/>
  </cellStyleXfs>
  <cellXfs count="51">
    <xf numFmtId="0" fontId="0" fillId="0" borderId="0" xfId="0"/>
    <xf numFmtId="0" fontId="4" fillId="0" borderId="0" xfId="0" applyFont="1"/>
    <xf numFmtId="0" fontId="6" fillId="0" borderId="0" xfId="0" applyFont="1"/>
    <xf numFmtId="0" fontId="3" fillId="0" borderId="0" xfId="0" applyFont="1"/>
    <xf numFmtId="0" fontId="7" fillId="0" borderId="0" xfId="0" applyFont="1"/>
    <xf numFmtId="0" fontId="8" fillId="0" borderId="0" xfId="0" applyFont="1"/>
    <xf numFmtId="0" fontId="8" fillId="0" borderId="0" xfId="0" applyFont="1" applyAlignment="1">
      <alignment wrapText="1"/>
    </xf>
    <xf numFmtId="0" fontId="0" fillId="3" borderId="0" xfId="0" applyFill="1"/>
    <xf numFmtId="0" fontId="11" fillId="4" borderId="0" xfId="0" applyFont="1" applyFill="1"/>
    <xf numFmtId="0" fontId="11" fillId="2" borderId="0" xfId="0" applyFont="1" applyFill="1"/>
    <xf numFmtId="0" fontId="12" fillId="0" borderId="0" xfId="0" applyFont="1" applyAlignment="1">
      <alignment horizontal="left" vertical="top" wrapText="1"/>
    </xf>
    <xf numFmtId="0" fontId="13" fillId="0" borderId="0" xfId="0" applyFont="1" applyAlignment="1">
      <alignment horizontal="left" vertical="top" wrapText="1"/>
    </xf>
    <xf numFmtId="0" fontId="3" fillId="0" borderId="0" xfId="0" applyFont="1" applyAlignment="1">
      <alignment horizontal="left" vertical="top" wrapText="1"/>
    </xf>
    <xf numFmtId="0" fontId="3" fillId="0" borderId="0" xfId="0" applyFont="1" applyAlignment="1">
      <alignment horizontal="left" vertical="top"/>
    </xf>
    <xf numFmtId="0" fontId="13" fillId="0" borderId="0" xfId="0" applyFont="1" applyAlignment="1">
      <alignment wrapText="1"/>
    </xf>
    <xf numFmtId="0" fontId="3" fillId="0" borderId="0" xfId="0" applyFont="1" applyAlignment="1">
      <alignment wrapText="1"/>
    </xf>
    <xf numFmtId="0" fontId="5" fillId="0" borderId="0" xfId="0" applyFont="1"/>
    <xf numFmtId="0" fontId="2" fillId="3" borderId="0" xfId="0" applyFont="1" applyFill="1"/>
    <xf numFmtId="2" fontId="0" fillId="3" borderId="0" xfId="0" applyNumberFormat="1" applyFill="1"/>
    <xf numFmtId="165" fontId="0" fillId="3" borderId="0" xfId="0" applyNumberFormat="1" applyFill="1"/>
    <xf numFmtId="2" fontId="0" fillId="3" borderId="0" xfId="1" applyNumberFormat="1" applyFont="1" applyFill="1" applyAlignment="1"/>
    <xf numFmtId="165" fontId="0" fillId="3" borderId="0" xfId="1" applyNumberFormat="1" applyFont="1" applyFill="1" applyAlignment="1"/>
    <xf numFmtId="0" fontId="2" fillId="5" borderId="0" xfId="0" applyFont="1" applyFill="1"/>
    <xf numFmtId="0" fontId="0" fillId="5" borderId="0" xfId="0" applyFill="1"/>
    <xf numFmtId="2" fontId="0" fillId="5" borderId="0" xfId="0" applyNumberFormat="1" applyFill="1"/>
    <xf numFmtId="165" fontId="0" fillId="5" borderId="0" xfId="0" applyNumberFormat="1" applyFill="1"/>
    <xf numFmtId="2" fontId="0" fillId="5" borderId="0" xfId="1" applyNumberFormat="1" applyFont="1" applyFill="1" applyAlignment="1"/>
    <xf numFmtId="165" fontId="0" fillId="5" borderId="0" xfId="1" applyNumberFormat="1" applyFont="1" applyFill="1" applyAlignment="1"/>
    <xf numFmtId="0" fontId="1" fillId="0" borderId="0" xfId="0" applyFont="1"/>
    <xf numFmtId="2" fontId="2" fillId="3" borderId="0" xfId="0" applyNumberFormat="1" applyFont="1" applyFill="1"/>
    <xf numFmtId="0" fontId="3" fillId="3" borderId="0" xfId="0" applyFont="1" applyFill="1"/>
    <xf numFmtId="0" fontId="8" fillId="3" borderId="0" xfId="0" applyFont="1" applyFill="1"/>
    <xf numFmtId="0" fontId="8" fillId="5" borderId="0" xfId="0" applyFont="1" applyFill="1"/>
    <xf numFmtId="0" fontId="7" fillId="5" borderId="0" xfId="0" applyFont="1" applyFill="1"/>
    <xf numFmtId="2" fontId="2" fillId="5" borderId="0" xfId="0" applyNumberFormat="1" applyFont="1" applyFill="1"/>
    <xf numFmtId="0" fontId="14" fillId="0" borderId="0" xfId="0" applyFont="1"/>
    <xf numFmtId="0" fontId="0" fillId="0" borderId="0" xfId="0" pivotButton="1"/>
    <xf numFmtId="164" fontId="0" fillId="0" borderId="0" xfId="1" applyFont="1" applyAlignment="1"/>
    <xf numFmtId="2" fontId="0" fillId="0" borderId="0" xfId="0" applyNumberFormat="1"/>
    <xf numFmtId="166" fontId="0" fillId="0" borderId="0" xfId="0" applyNumberFormat="1"/>
    <xf numFmtId="0" fontId="8" fillId="2" borderId="0" xfId="0" applyFont="1" applyFill="1"/>
    <xf numFmtId="0" fontId="0" fillId="2" borderId="0" xfId="0" applyFill="1"/>
    <xf numFmtId="165" fontId="0" fillId="2" borderId="0" xfId="0" applyNumberFormat="1" applyFill="1"/>
    <xf numFmtId="164" fontId="0" fillId="2" borderId="0" xfId="1" applyFont="1" applyFill="1" applyAlignment="1"/>
    <xf numFmtId="0" fontId="1" fillId="2" borderId="0" xfId="0" applyFont="1" applyFill="1"/>
    <xf numFmtId="0" fontId="14" fillId="2" borderId="0" xfId="0" applyFont="1" applyFill="1"/>
    <xf numFmtId="0" fontId="2" fillId="2" borderId="0" xfId="0" applyFont="1" applyFill="1"/>
    <xf numFmtId="2" fontId="0" fillId="2" borderId="0" xfId="1" applyNumberFormat="1" applyFont="1" applyFill="1" applyAlignment="1"/>
    <xf numFmtId="0" fontId="3" fillId="2" borderId="0" xfId="0" applyFont="1" applyFill="1"/>
    <xf numFmtId="164" fontId="0" fillId="0" borderId="0" xfId="0" applyNumberFormat="1"/>
    <xf numFmtId="43" fontId="0" fillId="0" borderId="0" xfId="0" applyNumberFormat="1"/>
  </cellXfs>
  <cellStyles count="3">
    <cellStyle name="Comma" xfId="1" builtinId="3"/>
    <cellStyle name="Normal" xfId="0" builtinId="0"/>
    <cellStyle name="Normal 2" xfId="2"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el Sola" refreshedDate="46222.550970138887" createdVersion="8" refreshedVersion="8" minRefreshableVersion="3" recordCount="34" xr:uid="{34F4B44D-AF43-064F-8D6E-791EAA8F20A3}">
  <cacheSource type="worksheet">
    <worksheetSource ref="A1:M35" sheet="carbon"/>
  </cacheSource>
  <cacheFields count="13">
    <cacheField name="c_no" numFmtId="0">
      <sharedItems containsString="0" containsBlank="1" containsNumber="1" containsInteger="1" minValue="1" maxValue="33"/>
    </cacheField>
    <cacheField name="c_period" numFmtId="0">
      <sharedItems count="1">
        <s v="ALL"/>
      </sharedItems>
    </cacheField>
    <cacheField name="c_lu" numFmtId="0">
      <sharedItems count="21">
        <s v="THF"/>
        <s v="THF_otha"/>
        <s v="THF_log"/>
        <s v="WD"/>
        <s v="WD_fire"/>
        <s v="WD_log"/>
        <s v="WD_charc"/>
        <s v="WD_other"/>
        <s v="FPc"/>
        <s v="FPnc"/>
        <s v="CP_p"/>
        <s v="CP_a"/>
        <s v="GL"/>
        <s v="Set"/>
        <s v="ALL"/>
        <s v="THF_otha_deg"/>
        <s v="THF_log_deg"/>
        <s v="WD_fire_deg"/>
        <s v="WD_log_deg"/>
        <s v="WD_charc_deg"/>
        <s v="WD_other_deg"/>
      </sharedItems>
    </cacheField>
    <cacheField name="c_element" numFmtId="0">
      <sharedItems count="5">
        <s v="AGB"/>
        <s v="ALL"/>
        <s v="CF"/>
        <s v="DG_ratio"/>
        <s v="RS"/>
      </sharedItems>
    </cacheField>
    <cacheField name="c_unit" numFmtId="0">
      <sharedItems/>
    </cacheField>
    <cacheField name="c_value" numFmtId="0">
      <sharedItems containsSemiMixedTypes="0" containsString="0" containsNumber="1" minValue="0" maxValue="231.7"/>
    </cacheField>
    <cacheField name="c_se" numFmtId="0">
      <sharedItems containsSemiMixedTypes="0" containsString="0" containsNumber="1" minValue="0" maxValue="7.91"/>
    </cacheField>
    <cacheField name="c_pdf" numFmtId="0">
      <sharedItems/>
    </cacheField>
    <cacheField name="c_pdf_a" numFmtId="0">
      <sharedItems containsString="0" containsBlank="1" containsNumber="1" minValue="7.09" maxValue="10.46"/>
    </cacheField>
    <cacheField name="c_pdf_b" numFmtId="0">
      <sharedItems containsString="0" containsBlank="1" containsNumber="1" minValue="1.27" maxValue="3.01"/>
    </cacheField>
    <cacheField name="c_pdf_c" numFmtId="0">
      <sharedItems containsNonDate="0" containsString="0" containsBlank="1"/>
    </cacheField>
    <cacheField name="opt_c_lu_label" numFmtId="0">
      <sharedItems/>
    </cacheField>
    <cacheField name="opt_c_uperc" numFmtId="2">
      <sharedItems containsSemiMixedTypes="0" containsString="0" containsNumber="1" minValue="0" maxValue="122.3844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el Sola" refreshedDate="46223.082646527779" createdVersion="8" refreshedVersion="8" minRefreshableVersion="3" recordCount="73" xr:uid="{C6469D66-4A37-DF4D-AB7C-BF68AA50E623}">
  <cacheSource type="worksheet">
    <worksheetSource ref="A1:X74" sheet="CALC E"/>
  </cacheSource>
  <cacheFields count="24">
    <cacheField name="trans_no" numFmtId="0">
      <sharedItems containsSemiMixedTypes="0" containsString="0" containsNumber="1" containsInteger="1" minValue="1" maxValue="73"/>
    </cacheField>
    <cacheField name="trans_period" numFmtId="0">
      <sharedItems count="8">
        <s v="T1"/>
        <s v="T2"/>
        <s v="T3"/>
        <s v="T4"/>
        <s v="T5"/>
        <s v="T6"/>
        <s v="T7"/>
        <s v="T8"/>
      </sharedItems>
    </cacheField>
    <cacheField name="lu_initial" numFmtId="0">
      <sharedItems/>
    </cacheField>
    <cacheField name="lu_final" numFmtId="0">
      <sharedItems/>
    </cacheField>
    <cacheField name="trans_area" numFmtId="0">
      <sharedItems containsSemiMixedTypes="0" containsString="0" containsNumber="1" minValue="600" maxValue="31549.304233548231"/>
    </cacheField>
    <cacheField name="trans_se" numFmtId="0">
      <sharedItems containsSemiMixedTypes="0" containsString="0" containsNumber="1" minValue="599.577" maxValue="7918.9423734819602"/>
    </cacheField>
    <cacheField name="trans_pdf" numFmtId="0">
      <sharedItems/>
    </cacheField>
    <cacheField name="trans_pdf_a" numFmtId="0">
      <sharedItems containsSemiMixedTypes="0" containsString="0" containsNumber="1" containsInteger="1" minValue="0" maxValue="0"/>
    </cacheField>
    <cacheField name="trans_pdf_b" numFmtId="0">
      <sharedItems containsSemiMixedTypes="0" containsString="0" containsNumber="1" containsInteger="1" minValue="0" maxValue="0"/>
    </cacheField>
    <cacheField name="trans_pdf_c" numFmtId="0">
      <sharedItems containsSemiMixedTypes="0" containsString="0" containsNumber="1" containsInteger="1" minValue="0" maxValue="0"/>
    </cacheField>
    <cacheField name="redd_activity" numFmtId="0">
      <sharedItems/>
    </cacheField>
    <cacheField name="lu_init_label" numFmtId="0">
      <sharedItems/>
    </cacheField>
    <cacheField name="lu_final_label" numFmtId="0">
      <sharedItems/>
    </cacheField>
    <cacheField name="year_start" numFmtId="0">
      <sharedItems containsSemiMixedTypes="0" containsString="0" containsNumber="1" containsInteger="1" minValue="2017" maxValue="2024"/>
    </cacheField>
    <cacheField name="year_end" numFmtId="0">
      <sharedItems containsSemiMixedTypes="0" containsString="0" containsNumber="1" containsInteger="1" minValue="2017" maxValue="2024"/>
    </cacheField>
    <cacheField name="period_type" numFmtId="0">
      <sharedItems count="3">
        <s v="REF"/>
        <s v="NA"/>
        <s v="MON2"/>
      </sharedItems>
    </cacheField>
    <cacheField name="nb_years" numFmtId="0">
      <sharedItems containsSemiMixedTypes="0" containsString="0" containsNumber="1" containsInteger="1" minValue="1" maxValue="1" count="1">
        <n v="1"/>
      </sharedItems>
    </cacheField>
    <cacheField name="trans_uperc" numFmtId="0">
      <sharedItems containsSemiMixedTypes="0" containsString="0" containsNumber="1" minValue="40.340000000000003" maxValue="164.51133999999999"/>
    </cacheField>
    <cacheField name="EFRF" numFmtId="0">
      <sharedItems containsSemiMixedTypes="0" containsString="0" containsNumber="1" minValue="4.4128299999999996" maxValue="479.40651000000003"/>
    </cacheField>
    <cacheField name="EFRF_Uperc" numFmtId="165">
      <sharedItems containsSemiMixedTypes="0" containsString="0" containsNumber="1" minValue="33.865602147902358" maxValue="778.23114032964747"/>
    </cacheField>
    <cacheField name="E" numFmtId="164">
      <sharedItems containsSemiMixedTypes="0" containsString="0" containsNumber="1" minValue="8154.68271" maxValue="2280871.2861500001"/>
    </cacheField>
    <cacheField name="E_year" numFmtId="164">
      <sharedItems containsSemiMixedTypes="0" containsString="0" containsNumber="1" minValue="8154.68271" maxValue="2280871.2861500001"/>
    </cacheField>
    <cacheField name="E_uperc" numFmtId="165">
      <sharedItems containsSemiMixedTypes="0" containsString="0" containsNumber="1" minValue="100.92377999999999" maxValue="795.42690000000005"/>
    </cacheField>
    <cacheField name="ExUperc2" numFmtId="43">
      <sharedItems containsSemiMixedTypes="0" containsString="0" containsNumber="1" minValue="16036289555347.814" maxValue="5.5247704349663864E+1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n v="1"/>
    <x v="0"/>
    <x v="0"/>
    <x v="0"/>
    <s v="DM"/>
    <n v="231.7"/>
    <n v="2.7869999999999999"/>
    <s v="normal"/>
    <m/>
    <m/>
    <m/>
    <s v="10-Tropical High Forest"/>
    <n v="1.9786900000000001"/>
  </r>
  <r>
    <n v="2"/>
    <x v="0"/>
    <x v="1"/>
    <x v="0"/>
    <s v="DM"/>
    <n v="231.7"/>
    <n v="2.7869999999999999"/>
    <s v="normal"/>
    <m/>
    <m/>
    <m/>
    <s v="11-Tropical High Forest"/>
    <n v="1.9786900000000001"/>
  </r>
  <r>
    <n v="3"/>
    <x v="0"/>
    <x v="2"/>
    <x v="0"/>
    <s v="DM"/>
    <n v="231.7"/>
    <n v="2.7869999999999999"/>
    <s v="normal"/>
    <m/>
    <m/>
    <m/>
    <s v="12-Tropical High Forest"/>
    <n v="1.9786900000000001"/>
  </r>
  <r>
    <n v="4"/>
    <x v="0"/>
    <x v="3"/>
    <x v="0"/>
    <s v="DM"/>
    <n v="17.8"/>
    <n v="1.0078"/>
    <s v="normal"/>
    <m/>
    <m/>
    <m/>
    <s v="30-Woodlands"/>
    <n v="9.3136899999999994"/>
  </r>
  <r>
    <n v="5"/>
    <x v="0"/>
    <x v="4"/>
    <x v="0"/>
    <s v="DM"/>
    <n v="17.8"/>
    <n v="1.0078"/>
    <s v="normal"/>
    <m/>
    <m/>
    <m/>
    <s v="31-Woodlands"/>
    <n v="9.3136899999999994"/>
  </r>
  <r>
    <n v="6"/>
    <x v="0"/>
    <x v="5"/>
    <x v="0"/>
    <s v="DM"/>
    <n v="17.8"/>
    <n v="1.0078"/>
    <s v="normal"/>
    <m/>
    <m/>
    <m/>
    <s v="32-Woodlands"/>
    <n v="9.3136899999999994"/>
  </r>
  <r>
    <n v="7"/>
    <x v="0"/>
    <x v="6"/>
    <x v="0"/>
    <s v="DM"/>
    <n v="17.8"/>
    <n v="1.0078"/>
    <s v="normal"/>
    <m/>
    <m/>
    <m/>
    <s v="33-Woodlands"/>
    <n v="9.3136899999999994"/>
  </r>
  <r>
    <n v="8"/>
    <x v="0"/>
    <x v="7"/>
    <x v="0"/>
    <s v="DM"/>
    <n v="17.8"/>
    <n v="1.0078"/>
    <s v="normal"/>
    <m/>
    <m/>
    <m/>
    <s v="34-Woodlands"/>
    <n v="9.3136899999999994"/>
  </r>
  <r>
    <n v="9"/>
    <x v="0"/>
    <x v="8"/>
    <x v="0"/>
    <s v="DM"/>
    <n v="98.3"/>
    <n v="7.91"/>
    <s v="normal"/>
    <m/>
    <m/>
    <m/>
    <s v="51-Plantations commercial"/>
    <n v="13.237030000000001"/>
  </r>
  <r>
    <n v="10"/>
    <x v="0"/>
    <x v="9"/>
    <x v="0"/>
    <s v="DM"/>
    <n v="98.3"/>
    <n v="7.91"/>
    <s v="normal"/>
    <m/>
    <m/>
    <m/>
    <s v="52-Plantations non commercial"/>
    <n v="13.237030000000001"/>
  </r>
  <r>
    <n v="11"/>
    <x v="0"/>
    <x v="10"/>
    <x v="0"/>
    <s v="DM"/>
    <n v="5.9"/>
    <n v="1.1439999999999999"/>
    <s v="normal"/>
    <m/>
    <m/>
    <m/>
    <s v="71-Cropland_perennial"/>
    <n v="31.89639"/>
  </r>
  <r>
    <n v="12"/>
    <x v="0"/>
    <x v="11"/>
    <x v="0"/>
    <s v="DM"/>
    <n v="8.1199999999999992"/>
    <n v="3.83"/>
    <s v="normal"/>
    <m/>
    <m/>
    <m/>
    <s v="72-Cropland_annual"/>
    <n v="77.590800000000002"/>
  </r>
  <r>
    <n v="13"/>
    <x v="0"/>
    <x v="12"/>
    <x v="0"/>
    <s v="DM"/>
    <n v="13"/>
    <n v="0.47899999999999998"/>
    <s v="normal"/>
    <m/>
    <m/>
    <m/>
    <s v="80-Grassland"/>
    <n v="6.06121"/>
  </r>
  <r>
    <n v="14"/>
    <x v="0"/>
    <x v="13"/>
    <x v="1"/>
    <s v="C"/>
    <n v="0"/>
    <n v="0"/>
    <s v="normal"/>
    <m/>
    <m/>
    <m/>
    <s v="90-Settlement"/>
    <n v="0"/>
  </r>
  <r>
    <m/>
    <x v="0"/>
    <x v="14"/>
    <x v="2"/>
    <s v="NA"/>
    <n v="0.47"/>
    <n v="1.2999999999999999E-2"/>
    <s v="normal"/>
    <m/>
    <m/>
    <m/>
    <s v="99-ALL"/>
    <n v="4.55002"/>
  </r>
  <r>
    <n v="32"/>
    <x v="0"/>
    <x v="15"/>
    <x v="3"/>
    <s v="NA"/>
    <n v="0.79600000000000004"/>
    <n v="0.128"/>
    <s v="beta"/>
    <n v="7.09"/>
    <n v="1.82"/>
    <m/>
    <s v="21-Tropical High Forest Degraded by other"/>
    <n v="26.452359999999999"/>
  </r>
  <r>
    <n v="33"/>
    <x v="0"/>
    <x v="16"/>
    <x v="3"/>
    <s v="NA"/>
    <n v="0.89200000000000002"/>
    <n v="8.6999999999999994E-2"/>
    <s v="beta"/>
    <n v="10.46"/>
    <n v="1.27"/>
    <m/>
    <s v="22-Tropical High Forest Degraded by logging"/>
    <n v="16.044339999999998"/>
  </r>
  <r>
    <n v="28"/>
    <x v="0"/>
    <x v="17"/>
    <x v="3"/>
    <s v="NA"/>
    <n v="0.70300000000000007"/>
    <n v="0.13700000000000001"/>
    <s v="beta"/>
    <n v="7.12"/>
    <n v="3.01"/>
    <m/>
    <s v="41-Woodlands_Degraded_by_fire"/>
    <n v="32.057729999999999"/>
  </r>
  <r>
    <n v="29"/>
    <x v="0"/>
    <x v="18"/>
    <x v="3"/>
    <s v="NA"/>
    <n v="0.89200000000000002"/>
    <n v="8.6999999999999994E-2"/>
    <s v="beta"/>
    <n v="10.46"/>
    <n v="1.27"/>
    <m/>
    <s v="42-Woodlands_Degraded_by_logging"/>
    <n v="16.044339999999998"/>
  </r>
  <r>
    <n v="30"/>
    <x v="0"/>
    <x v="19"/>
    <x v="3"/>
    <s v="NA"/>
    <n v="0.89200000000000002"/>
    <n v="8.6999999999999994E-2"/>
    <s v="beta"/>
    <n v="10.46"/>
    <n v="1.27"/>
    <m/>
    <s v="43-Woodlands_Degraded_by_charcoal"/>
    <n v="16.044339999999998"/>
  </r>
  <r>
    <n v="31"/>
    <x v="0"/>
    <x v="20"/>
    <x v="3"/>
    <s v="NA"/>
    <n v="0.79600000000000004"/>
    <n v="0.128"/>
    <s v="beta"/>
    <n v="7.09"/>
    <n v="1.82"/>
    <m/>
    <s v="44-Woodlands_Degraded_by_other"/>
    <n v="26.452359999999999"/>
  </r>
  <r>
    <n v="15"/>
    <x v="0"/>
    <x v="0"/>
    <x v="4"/>
    <s v="NA"/>
    <n v="0.23200000000000001"/>
    <n v="0.107"/>
    <s v="normal"/>
    <m/>
    <m/>
    <m/>
    <s v="10-Tropical High Forest"/>
    <n v="75.868809999999996"/>
  </r>
  <r>
    <n v="16"/>
    <x v="0"/>
    <x v="1"/>
    <x v="4"/>
    <s v="NA"/>
    <n v="0.23200000000000001"/>
    <n v="0.107"/>
    <s v="normal"/>
    <m/>
    <m/>
    <m/>
    <s v="11-Tropical High Forest"/>
    <n v="75.868809999999996"/>
  </r>
  <r>
    <n v="17"/>
    <x v="0"/>
    <x v="2"/>
    <x v="4"/>
    <s v="NA"/>
    <n v="0.23200000000000001"/>
    <n v="0.107"/>
    <s v="normal"/>
    <m/>
    <m/>
    <m/>
    <s v="12-Tropical High Forest"/>
    <n v="75.868809999999996"/>
  </r>
  <r>
    <n v="18"/>
    <x v="0"/>
    <x v="3"/>
    <x v="4"/>
    <s v="NA"/>
    <n v="0.33200000000000002"/>
    <n v="0.247"/>
    <s v="normal"/>
    <m/>
    <m/>
    <m/>
    <s v="30-Woodlands"/>
    <n v="122.38448"/>
  </r>
  <r>
    <n v="19"/>
    <x v="0"/>
    <x v="4"/>
    <x v="4"/>
    <s v="NA"/>
    <n v="0.33200000000000002"/>
    <n v="0.247"/>
    <s v="normal"/>
    <m/>
    <m/>
    <m/>
    <s v="31-Woodlands"/>
    <n v="122.38448"/>
  </r>
  <r>
    <n v="20"/>
    <x v="0"/>
    <x v="5"/>
    <x v="4"/>
    <s v="NA"/>
    <n v="0.33200000000000002"/>
    <n v="0.247"/>
    <s v="normal"/>
    <m/>
    <m/>
    <m/>
    <s v="32-Woodlands"/>
    <n v="122.38448"/>
  </r>
  <r>
    <n v="21"/>
    <x v="0"/>
    <x v="6"/>
    <x v="4"/>
    <s v="NA"/>
    <n v="0.33200000000000002"/>
    <n v="0.247"/>
    <s v="normal"/>
    <m/>
    <m/>
    <m/>
    <s v="33-Woodlands"/>
    <n v="122.38448"/>
  </r>
  <r>
    <n v="22"/>
    <x v="0"/>
    <x v="7"/>
    <x v="4"/>
    <s v="NA"/>
    <n v="0.33200000000000002"/>
    <n v="0.247"/>
    <s v="normal"/>
    <m/>
    <m/>
    <m/>
    <s v="34-Woodlands"/>
    <n v="122.38448"/>
  </r>
  <r>
    <n v="23"/>
    <x v="0"/>
    <x v="8"/>
    <x v="4"/>
    <s v="NA"/>
    <n v="0.23200000000000001"/>
    <n v="0.107"/>
    <s v="normal"/>
    <m/>
    <m/>
    <m/>
    <s v="51-Plantations commercial"/>
    <n v="75.868809999999996"/>
  </r>
  <r>
    <n v="24"/>
    <x v="0"/>
    <x v="9"/>
    <x v="4"/>
    <s v="NA"/>
    <n v="0.23200000000000001"/>
    <n v="0.107"/>
    <s v="normal"/>
    <m/>
    <m/>
    <m/>
    <s v="52-Plantations non commercial"/>
    <n v="75.868809999999996"/>
  </r>
  <r>
    <n v="25"/>
    <x v="0"/>
    <x v="10"/>
    <x v="4"/>
    <s v="NA"/>
    <n v="0.23200000000000001"/>
    <n v="0.107"/>
    <s v="normal"/>
    <m/>
    <m/>
    <m/>
    <s v="71-Cropland_perennial"/>
    <n v="75.868809999999996"/>
  </r>
  <r>
    <n v="26"/>
    <x v="0"/>
    <x v="11"/>
    <x v="4"/>
    <s v="NA"/>
    <n v="0.23200000000000001"/>
    <n v="0.107"/>
    <s v="normal"/>
    <m/>
    <m/>
    <m/>
    <s v="72-Cropland_annual"/>
    <n v="75.868809999999996"/>
  </r>
  <r>
    <n v="27"/>
    <x v="0"/>
    <x v="12"/>
    <x v="4"/>
    <s v="NA"/>
    <n v="0.33200000000000002"/>
    <n v="0.247"/>
    <s v="normal"/>
    <m/>
    <m/>
    <m/>
    <s v="80-Grassland"/>
    <n v="122.3844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
  <r>
    <n v="1"/>
    <x v="0"/>
    <s v="THF"/>
    <s v="FPc"/>
    <n v="1109.0411150568182"/>
    <n v="1109.0370699368061"/>
    <s v="normal"/>
    <n v="0"/>
    <n v="0"/>
    <n v="0"/>
    <s v="DG"/>
    <s v="10-Tropical High Forest"/>
    <s v="51-Plantations commercial"/>
    <n v="2017"/>
    <n v="2017"/>
    <x v="0"/>
    <x v="0"/>
    <n v="164.5"/>
    <n v="283.22778"/>
    <n v="62.972211825013993"/>
    <n v="314111.25294999999"/>
    <n v="314111.25294999999"/>
    <n v="176.14127999999999"/>
    <n v="3061182953824599.5"/>
  </r>
  <r>
    <n v="2"/>
    <x v="0"/>
    <s v="THF"/>
    <s v="CP_a"/>
    <n v="3327.1233451704543"/>
    <n v="1919.6117016602238"/>
    <s v="normal"/>
    <n v="0"/>
    <n v="0"/>
    <n v="0"/>
    <s v="DF"/>
    <s v="10-Tropical High Forest"/>
    <s v="72-Cropland_annual"/>
    <n v="2017"/>
    <n v="2017"/>
    <x v="0"/>
    <x v="0"/>
    <n v="94.91"/>
    <n v="474.69315999999998"/>
    <n v="34.317662567634372"/>
    <n v="1579362.6944299999"/>
    <n v="1579362.6944299999"/>
    <n v="100.92377999999999"/>
    <n v="2.5406846714912876E+16"/>
  </r>
  <r>
    <n v="3"/>
    <x v="0"/>
    <s v="THF"/>
    <s v="GL"/>
    <n v="2218.0822301136363"/>
    <n v="1567.8885166231225"/>
    <s v="normal"/>
    <n v="0"/>
    <n v="0"/>
    <n v="0"/>
    <s v="DF"/>
    <s v="10-Tropical High Forest"/>
    <s v="80-Grassland"/>
    <n v="2017"/>
    <n v="2017"/>
    <x v="0"/>
    <x v="0"/>
    <n v="116.28"/>
    <n v="462.09185000000002"/>
    <n v="35.335744994784008"/>
    <n v="1024957.72117"/>
    <n v="1024957.72117"/>
    <n v="121.53046000000001"/>
    <n v="1.5516086293091528E+16"/>
  </r>
  <r>
    <n v="4"/>
    <x v="0"/>
    <s v="WD"/>
    <s v="CP_a"/>
    <n v="13699.848917843166"/>
    <n v="4809.503886341101"/>
    <s v="normal"/>
    <n v="0"/>
    <n v="0"/>
    <n v="0"/>
    <s v="DF"/>
    <s v="30-Woodlands"/>
    <s v="72-Cropland_annual"/>
    <n v="2017"/>
    <n v="2017"/>
    <x v="0"/>
    <x v="0"/>
    <n v="57.75"/>
    <n v="23.619599999999998"/>
    <n v="123.39922849356405"/>
    <n v="323584.95150000002"/>
    <n v="323584.95150000002"/>
    <n v="136.24402000000001"/>
    <n v="1943620769916805"/>
  </r>
  <r>
    <n v="5"/>
    <x v="0"/>
    <s v="WD"/>
    <s v="GL"/>
    <n v="17528.694652696522"/>
    <n v="6274.0776699341604"/>
    <s v="normal"/>
    <n v="0"/>
    <n v="0"/>
    <n v="0"/>
    <s v="DF"/>
    <s v="30-Woodlands"/>
    <s v="80-Grassland"/>
    <n v="2017"/>
    <n v="2017"/>
    <x v="0"/>
    <x v="0"/>
    <n v="58.88"/>
    <n v="11.0183"/>
    <n v="283.16898810249683"/>
    <n v="193136.41628999999"/>
    <n v="193136.41628999999"/>
    <n v="289.22573999999997"/>
    <n v="3120342160893656"/>
  </r>
  <r>
    <n v="6"/>
    <x v="0"/>
    <s v="WD_fire"/>
    <s v="WD_fire_deg"/>
    <n v="2572.3857580398162"/>
    <n v="2572.3763755120031"/>
    <s v="normal"/>
    <n v="0"/>
    <n v="0"/>
    <n v="0"/>
    <s v="DG"/>
    <s v="31-Woodlands"/>
    <s v="41-Woodlands_Degraded_by_fire"/>
    <n v="2017"/>
    <n v="2017"/>
    <x v="0"/>
    <x v="0"/>
    <n v="164.5"/>
    <n v="12.13527"/>
    <n v="265.45511134864205"/>
    <n v="31216.595720000001"/>
    <n v="31216.595720000001"/>
    <n v="312.29259999999999"/>
    <n v="95037382550034.375"/>
  </r>
  <r>
    <n v="7"/>
    <x v="0"/>
    <s v="WD_other"/>
    <s v="WD_other_deg"/>
    <n v="2572.3857580398162"/>
    <n v="2572.3763755120031"/>
    <s v="normal"/>
    <n v="0"/>
    <n v="0"/>
    <n v="0"/>
    <s v="DG"/>
    <s v="34-Woodlands"/>
    <s v="44-Woodlands_Degraded_by_other"/>
    <n v="2017"/>
    <n v="2017"/>
    <x v="0"/>
    <x v="0"/>
    <n v="164.5"/>
    <n v="8.3353599999999997"/>
    <n v="400.75531397011844"/>
    <n v="21441.761350000001"/>
    <n v="21441.761350000001"/>
    <n v="433.20326999999997"/>
    <n v="86278854067557.156"/>
  </r>
  <r>
    <n v="8"/>
    <x v="1"/>
    <s v="THF"/>
    <s v="CP_p"/>
    <n v="1847.9485302390999"/>
    <n v="1847.9417900258838"/>
    <s v="normal"/>
    <n v="0"/>
    <n v="0"/>
    <n v="0"/>
    <s v="DF"/>
    <s v="10-Tropical High Forest"/>
    <s v="71-Cropland_perennial"/>
    <n v="2018"/>
    <n v="2018"/>
    <x v="0"/>
    <x v="0"/>
    <n v="164.5"/>
    <n v="479.40651000000003"/>
    <n v="33.865602147902358"/>
    <n v="885918.55553999997"/>
    <n v="885918.55553999997"/>
    <n v="167.94978"/>
    <n v="2.2138412470156252E+16"/>
  </r>
  <r>
    <n v="9"/>
    <x v="1"/>
    <s v="THF"/>
    <s v="CP_a"/>
    <n v="2218.0822301136363"/>
    <n v="1567.8885166231225"/>
    <s v="normal"/>
    <n v="0"/>
    <n v="0"/>
    <n v="0"/>
    <s v="DF"/>
    <s v="10-Tropical High Forest"/>
    <s v="72-Cropland_annual"/>
    <n v="2018"/>
    <n v="2018"/>
    <x v="0"/>
    <x v="0"/>
    <n v="116.28"/>
    <n v="474.69315999999998"/>
    <n v="34.317662567634372"/>
    <n v="1052908.4629500001"/>
    <n v="1052908.4629500001"/>
    <n v="121.23836"/>
    <n v="1.6295261672901674E+16"/>
  </r>
  <r>
    <n v="10"/>
    <x v="1"/>
    <s v="THF"/>
    <s v="GL"/>
    <n v="2218.0822301136363"/>
    <n v="1567.8885166231225"/>
    <s v="normal"/>
    <n v="0"/>
    <n v="0"/>
    <n v="0"/>
    <s v="DF"/>
    <s v="10-Tropical High Forest"/>
    <s v="80-Grassland"/>
    <n v="2018"/>
    <n v="2018"/>
    <x v="0"/>
    <x v="0"/>
    <n v="116.28"/>
    <n v="462.09185000000002"/>
    <n v="35.335744994784008"/>
    <n v="1024957.72117"/>
    <n v="1024957.72117"/>
    <n v="121.53046000000001"/>
    <n v="1.5516086293091528E+16"/>
  </r>
  <r>
    <n v="11"/>
    <x v="1"/>
    <s v="THF_log"/>
    <s v="THF_log_deg"/>
    <n v="3327.1233451704543"/>
    <n v="1919.6117016602238"/>
    <s v="normal"/>
    <n v="0"/>
    <n v="0"/>
    <n v="0"/>
    <s v="DG"/>
    <s v="12-Tropical High Forest"/>
    <s v="22-Tropical High Forest Degraded by logging"/>
    <n v="2018"/>
    <n v="2018"/>
    <x v="0"/>
    <x v="0"/>
    <n v="94.91"/>
    <n v="53.128790000000002"/>
    <n v="430.15568825406905"/>
    <n v="176766.03750999999"/>
    <n v="176766.03750999999"/>
    <n v="440.50179000000003"/>
    <n v="6063075947229653"/>
  </r>
  <r>
    <n v="12"/>
    <x v="1"/>
    <s v="WD"/>
    <s v="CP_p"/>
    <n v="2218.0822301136363"/>
    <n v="1567.8885166231225"/>
    <s v="normal"/>
    <n v="0"/>
    <n v="0"/>
    <n v="0"/>
    <s v="DF"/>
    <s v="30-Woodlands"/>
    <s v="71-Cropland_perennial"/>
    <n v="2018"/>
    <n v="2018"/>
    <x v="0"/>
    <x v="0"/>
    <n v="116.28"/>
    <n v="28.33296"/>
    <n v="91.406908473825453"/>
    <n v="62844.835099999997"/>
    <n v="62844.835099999997"/>
    <n v="147.90626"/>
    <n v="86399711646900.125"/>
  </r>
  <r>
    <n v="13"/>
    <x v="1"/>
    <s v="WD"/>
    <s v="CP_a"/>
    <n v="27438.10982948829"/>
    <n v="6806.9615681731084"/>
    <s v="normal"/>
    <n v="0"/>
    <n v="0"/>
    <n v="0"/>
    <s v="DF"/>
    <s v="30-Woodlands"/>
    <s v="72-Cropland_annual"/>
    <n v="2018"/>
    <n v="2018"/>
    <x v="0"/>
    <x v="0"/>
    <n v="40.81"/>
    <n v="23.619599999999998"/>
    <n v="123.39922849356405"/>
    <n v="648077.17893000005"/>
    <n v="648077.17893000005"/>
    <n v="129.97239999999999"/>
    <n v="7095054475486824"/>
  </r>
  <r>
    <n v="14"/>
    <x v="1"/>
    <s v="WD"/>
    <s v="GL"/>
    <n v="31549.304233548231"/>
    <n v="7918.9423734819602"/>
    <s v="normal"/>
    <n v="0"/>
    <n v="0"/>
    <n v="0"/>
    <s v="DF"/>
    <s v="30-Woodlands"/>
    <s v="80-Grassland"/>
    <n v="2018"/>
    <n v="2018"/>
    <x v="0"/>
    <x v="0"/>
    <n v="41.29"/>
    <n v="11.0183"/>
    <n v="283.16898810249683"/>
    <n v="347619.69884000003"/>
    <n v="347619.69884000003"/>
    <n v="286.16347999999999"/>
    <n v="9895487057577248"/>
  </r>
  <r>
    <n v="15"/>
    <x v="1"/>
    <s v="WD_log"/>
    <s v="WD_log_deg"/>
    <n v="7415.7359273767925"/>
    <n v="3849.857375583907"/>
    <s v="normal"/>
    <n v="0"/>
    <n v="0"/>
    <n v="0"/>
    <s v="DG"/>
    <s v="32-Woodlands"/>
    <s v="42-Woodlands_Degraded_by_logging"/>
    <n v="2018"/>
    <n v="2018"/>
    <x v="0"/>
    <x v="0"/>
    <n v="85.4"/>
    <n v="4.4128299999999996"/>
    <n v="778.23114032964747"/>
    <n v="32724.381969999999"/>
    <n v="32724.381969999999"/>
    <n v="782.90284999999994"/>
    <n v="656385010207136.38"/>
  </r>
  <r>
    <n v="16"/>
    <x v="1"/>
    <s v="FPc"/>
    <s v="CP_a"/>
    <n v="1109.0411150568182"/>
    <n v="1109.0370699368061"/>
    <s v="normal"/>
    <n v="0"/>
    <n v="0"/>
    <n v="0"/>
    <s v="DF"/>
    <s v="51-Plantations commercial"/>
    <s v="72-Cropland_annual"/>
    <n v="2018"/>
    <n v="2018"/>
    <x v="0"/>
    <x v="0"/>
    <n v="164.5"/>
    <n v="191.46538000000001"/>
    <n v="39.419337385525331"/>
    <n v="212342.97852999999"/>
    <n v="212342.97852999999"/>
    <n v="169.15713"/>
    <n v="1290198183151293.5"/>
  </r>
  <r>
    <n v="17"/>
    <x v="1"/>
    <s v="FPnc"/>
    <s v="CP_p"/>
    <n v="1109.0411150568182"/>
    <n v="1109.0370699368061"/>
    <s v="normal"/>
    <n v="0"/>
    <n v="0"/>
    <n v="0"/>
    <s v="DF"/>
    <s v="52-Plantations non commercial"/>
    <s v="71-Cropland_perennial"/>
    <n v="2018"/>
    <n v="2018"/>
    <x v="0"/>
    <x v="0"/>
    <n v="164.5"/>
    <n v="196.17873"/>
    <n v="37.863678475902866"/>
    <n v="217570.27747"/>
    <n v="217570.27747"/>
    <n v="168.80139"/>
    <n v="1348811214677042.2"/>
  </r>
  <r>
    <n v="18"/>
    <x v="2"/>
    <s v="THF"/>
    <s v="CP_p"/>
    <n v="1109.0411150568182"/>
    <n v="1109.0370699368061"/>
    <s v="normal"/>
    <n v="0"/>
    <n v="0"/>
    <n v="0"/>
    <s v="DF"/>
    <s v="10-Tropical High Forest"/>
    <s v="71-Cropland_perennial"/>
    <n v="2019"/>
    <n v="2019"/>
    <x v="0"/>
    <x v="0"/>
    <n v="164.5"/>
    <n v="479.40651000000003"/>
    <n v="33.865602147902358"/>
    <n v="531681.53041999997"/>
    <n v="531681.53041999997"/>
    <n v="167.94978"/>
    <n v="7973739194721749"/>
  </r>
  <r>
    <n v="19"/>
    <x v="2"/>
    <s v="WD"/>
    <s v="CP_a"/>
    <n v="9241.1026357622904"/>
    <n v="3599.8036292855313"/>
    <s v="normal"/>
    <n v="0"/>
    <n v="0"/>
    <n v="0"/>
    <s v="DF"/>
    <s v="30-Woodlands"/>
    <s v="72-Cropland_annual"/>
    <n v="2019"/>
    <n v="2019"/>
    <x v="0"/>
    <x v="0"/>
    <n v="64.08"/>
    <n v="23.619599999999998"/>
    <n v="123.39922849356405"/>
    <n v="218271.14782000001"/>
    <n v="218271.14782000001"/>
    <n v="139.04536999999999"/>
    <n v="921097765459714.12"/>
  </r>
  <r>
    <n v="20"/>
    <x v="2"/>
    <s v="WD"/>
    <s v="GL"/>
    <n v="16203.522322751101"/>
    <n v="5976.0736393746247"/>
    <s v="normal"/>
    <n v="0"/>
    <n v="0"/>
    <n v="0"/>
    <s v="DF"/>
    <s v="30-Woodlands"/>
    <s v="80-Grassland"/>
    <n v="2019"/>
    <n v="2019"/>
    <x v="0"/>
    <x v="0"/>
    <n v="60.67"/>
    <n v="11.0183"/>
    <n v="283.16898810249683"/>
    <n v="178535.27001000001"/>
    <n v="178535.27001000001"/>
    <n v="289.59545000000003"/>
    <n v="2673200401274925.5"/>
  </r>
  <r>
    <n v="21"/>
    <x v="2"/>
    <s v="WD_log"/>
    <s v="WD_log_deg"/>
    <n v="1847.9485302390999"/>
    <n v="1847.9417900258838"/>
    <s v="normal"/>
    <n v="0"/>
    <n v="0"/>
    <n v="0"/>
    <s v="DG"/>
    <s v="32-Woodlands"/>
    <s v="42-Woodlands_Degraded_by_logging"/>
    <n v="2019"/>
    <n v="2019"/>
    <x v="0"/>
    <x v="0"/>
    <n v="164.5"/>
    <n v="4.4128299999999996"/>
    <n v="778.23114032964747"/>
    <n v="8154.68271"/>
    <n v="8154.68271"/>
    <n v="795.42690000000005"/>
    <n v="42074085344913.273"/>
  </r>
  <r>
    <n v="22"/>
    <x v="2"/>
    <s v="WD_charc"/>
    <s v="WD_charc_deg"/>
    <n v="2572.3857580398162"/>
    <n v="2572.3763755120031"/>
    <s v="normal"/>
    <n v="0"/>
    <n v="0"/>
    <n v="0"/>
    <s v="DG"/>
    <s v="33-Woodlands"/>
    <s v="43-Woodlands_Degraded_by_charcoal"/>
    <n v="2019"/>
    <n v="2019"/>
    <x v="0"/>
    <x v="0"/>
    <n v="164.5"/>
    <n v="4.4128299999999996"/>
    <n v="778.23114032964747"/>
    <n v="11351.501039999999"/>
    <n v="11351.501039999999"/>
    <n v="795.42690000000005"/>
    <n v="81528064948766.453"/>
  </r>
  <r>
    <n v="23"/>
    <x v="2"/>
    <s v="WD_other"/>
    <s v="WD_other_deg"/>
    <n v="1847.9485302390999"/>
    <n v="1847.9417900258838"/>
    <s v="normal"/>
    <n v="0"/>
    <n v="0"/>
    <n v="0"/>
    <s v="DG"/>
    <s v="34-Woodlands"/>
    <s v="44-Woodlands_Degraded_by_other"/>
    <n v="2019"/>
    <n v="2019"/>
    <x v="0"/>
    <x v="0"/>
    <n v="164.5"/>
    <n v="8.3353599999999997"/>
    <n v="400.75531397011844"/>
    <n v="15403.31626"/>
    <n v="15403.31626"/>
    <n v="433.20326999999997"/>
    <n v="44525819071637.898"/>
  </r>
  <r>
    <n v="24"/>
    <x v="2"/>
    <s v="FPc"/>
    <s v="GL"/>
    <n v="2572.3857580398162"/>
    <n v="2572.3763755120031"/>
    <s v="normal"/>
    <n v="0"/>
    <n v="0"/>
    <n v="0"/>
    <s v="DF"/>
    <s v="51-Plantations commercial"/>
    <s v="80-Grassland"/>
    <n v="2019"/>
    <n v="2019"/>
    <x v="0"/>
    <x v="0"/>
    <n v="164.5"/>
    <n v="178.86407"/>
    <n v="42.653124890483859"/>
    <n v="460107.38628999999"/>
    <n v="460107.38628999999"/>
    <n v="169.93980999999999"/>
    <n v="6113763955493994"/>
  </r>
  <r>
    <n v="25"/>
    <x v="2"/>
    <s v="FPnc"/>
    <s v="CP_a"/>
    <n v="4804.9381755350178"/>
    <n v="2838.26224656164"/>
    <s v="normal"/>
    <n v="0"/>
    <n v="0"/>
    <n v="0"/>
    <s v="DF"/>
    <s v="52-Plantations non commercial"/>
    <s v="72-Cropland_annual"/>
    <n v="2019"/>
    <n v="2019"/>
    <x v="0"/>
    <x v="0"/>
    <n v="97.17"/>
    <n v="191.46538000000001"/>
    <n v="39.419337385525331"/>
    <n v="919979.31365999999"/>
    <n v="919979.31365999999"/>
    <n v="104.8613"/>
    <n v="9306504659517836"/>
  </r>
  <r>
    <n v="26"/>
    <x v="3"/>
    <s v="THF"/>
    <s v="FPc"/>
    <n v="1847.9485302390999"/>
    <n v="1847.9417900258838"/>
    <s v="normal"/>
    <n v="0"/>
    <n v="0"/>
    <n v="0"/>
    <s v="DG"/>
    <s v="10-Tropical High Forest"/>
    <s v="51-Plantations commercial"/>
    <n v="2020"/>
    <n v="2020"/>
    <x v="0"/>
    <x v="0"/>
    <n v="164.5"/>
    <n v="283.22778"/>
    <n v="62.972211825013993"/>
    <n v="523390.35976999998"/>
    <n v="523390.35976999998"/>
    <n v="176.14127999999999"/>
    <n v="8499115561982302"/>
  </r>
  <r>
    <n v="27"/>
    <x v="3"/>
    <s v="THF"/>
    <s v="CP_a"/>
    <n v="1109.0411150568182"/>
    <n v="1109.0370699368061"/>
    <s v="normal"/>
    <n v="0"/>
    <n v="0"/>
    <n v="0"/>
    <s v="DF"/>
    <s v="10-Tropical High Forest"/>
    <s v="72-Cropland_annual"/>
    <n v="2020"/>
    <n v="2020"/>
    <x v="0"/>
    <x v="0"/>
    <n v="164.5"/>
    <n v="474.69315999999998"/>
    <n v="34.317662567634372"/>
    <n v="526454.23147999996"/>
    <n v="526454.23147999996"/>
    <n v="168.04151999999999"/>
    <n v="7826263105012999"/>
  </r>
  <r>
    <n v="28"/>
    <x v="3"/>
    <s v="THF"/>
    <s v="GL"/>
    <n v="1109.0411150568182"/>
    <n v="1109.0370699368061"/>
    <s v="normal"/>
    <n v="0"/>
    <n v="0"/>
    <n v="0"/>
    <s v="DF"/>
    <s v="10-Tropical High Forest"/>
    <s v="80-Grassland"/>
    <n v="2020"/>
    <n v="2020"/>
    <x v="0"/>
    <x v="0"/>
    <n v="164.5"/>
    <n v="462.09185000000002"/>
    <n v="35.335744994784008"/>
    <n v="512478.86057999998"/>
    <n v="512478.86057999998"/>
    <n v="168.25237999999999"/>
    <n v="7434886514888439"/>
  </r>
  <r>
    <n v="29"/>
    <x v="3"/>
    <s v="WD"/>
    <s v="CP_p"/>
    <n v="10128.788897268085"/>
    <n v="4407.3924913735846"/>
    <s v="normal"/>
    <n v="0"/>
    <n v="0"/>
    <n v="0"/>
    <s v="DF"/>
    <s v="30-Woodlands"/>
    <s v="71-Cropland_perennial"/>
    <n v="2020"/>
    <n v="2020"/>
    <x v="0"/>
    <x v="0"/>
    <n v="71.58"/>
    <n v="28.33296"/>
    <n v="91.406908473825453"/>
    <n v="286978.57066999999"/>
    <n v="286978.57066999999"/>
    <n v="116.09875"/>
    <n v="1110079350624254.1"/>
  </r>
  <r>
    <n v="30"/>
    <x v="3"/>
    <s v="WD"/>
    <s v="CP_a"/>
    <n v="15565.155631273446"/>
    <n v="6279.9733207515274"/>
    <s v="normal"/>
    <n v="0"/>
    <n v="0"/>
    <n v="0"/>
    <s v="DF"/>
    <s v="30-Woodlands"/>
    <s v="72-Cropland_annual"/>
    <n v="2020"/>
    <n v="2020"/>
    <x v="0"/>
    <x v="0"/>
    <n v="66.37"/>
    <n v="23.619599999999998"/>
    <n v="123.39922849356405"/>
    <n v="367642.74995000003"/>
    <n v="367642.74995000003"/>
    <n v="140.11547999999999"/>
    <n v="2653531513672714"/>
  </r>
  <r>
    <n v="31"/>
    <x v="3"/>
    <s v="WD"/>
    <s v="GL"/>
    <n v="20471.214110610876"/>
    <n v="6708.8092852125292"/>
    <s v="normal"/>
    <n v="0"/>
    <n v="0"/>
    <n v="0"/>
    <s v="DF"/>
    <s v="30-Woodlands"/>
    <s v="80-Grassland"/>
    <n v="2020"/>
    <n v="2020"/>
    <x v="0"/>
    <x v="0"/>
    <n v="53.91"/>
    <n v="11.0183"/>
    <n v="283.16898810249683"/>
    <n v="225557.97842999999"/>
    <n v="225557.97842999999"/>
    <n v="288.25502999999998"/>
    <n v="4227369171115688.5"/>
  </r>
  <r>
    <n v="32"/>
    <x v="3"/>
    <s v="WD_fire"/>
    <s v="WD_fire_deg"/>
    <n v="2995.4016390978768"/>
    <n v="2188.1829912498301"/>
    <s v="normal"/>
    <n v="0"/>
    <n v="0"/>
    <n v="0"/>
    <s v="DG"/>
    <s v="31-Woodlands"/>
    <s v="41-Woodlands_Degraded_by_fire"/>
    <n v="2020"/>
    <n v="2020"/>
    <x v="0"/>
    <x v="0"/>
    <n v="120.17"/>
    <n v="12.13527"/>
    <n v="265.45511134864205"/>
    <n v="36350.00765"/>
    <n v="36350.00765"/>
    <n v="291.38848000000002"/>
    <n v="112189902140053.22"/>
  </r>
  <r>
    <n v="33"/>
    <x v="3"/>
    <s v="WD_log"/>
    <s v="WD_log_deg"/>
    <n v="2995.4016390978768"/>
    <n v="2188.1829912498301"/>
    <s v="normal"/>
    <n v="0"/>
    <n v="0"/>
    <n v="0"/>
    <s v="DG"/>
    <s v="32-Woodlands"/>
    <s v="42-Woodlands_Degraded_by_logging"/>
    <n v="2020"/>
    <n v="2020"/>
    <x v="0"/>
    <x v="0"/>
    <n v="120.17"/>
    <n v="4.4128299999999996"/>
    <n v="778.23114032964747"/>
    <n v="13218.19822"/>
    <n v="13218.19822"/>
    <n v="787.45447000000001"/>
    <n v="108341645092867.98"/>
  </r>
  <r>
    <n v="34"/>
    <x v="3"/>
    <s v="FPc"/>
    <s v="CP_a"/>
    <n v="1109.0411150568182"/>
    <n v="1109.0370699368061"/>
    <s v="normal"/>
    <n v="0"/>
    <n v="0"/>
    <n v="0"/>
    <s v="DF"/>
    <s v="51-Plantations commercial"/>
    <s v="72-Cropland_annual"/>
    <n v="2020"/>
    <n v="2020"/>
    <x v="0"/>
    <x v="0"/>
    <n v="164.5"/>
    <n v="191.46538000000001"/>
    <n v="39.419337385525331"/>
    <n v="212342.97852999999"/>
    <n v="212342.97852999999"/>
    <n v="169.15713"/>
    <n v="1290198183151293.5"/>
  </r>
  <r>
    <n v="35"/>
    <x v="3"/>
    <s v="FPnc"/>
    <s v="CP_a"/>
    <n v="4066.0307603527363"/>
    <n v="2423.5432335966298"/>
    <s v="normal"/>
    <n v="0"/>
    <n v="0"/>
    <n v="0"/>
    <s v="DF"/>
    <s v="52-Plantations non commercial"/>
    <s v="72-Cropland_annual"/>
    <n v="2020"/>
    <n v="2020"/>
    <x v="0"/>
    <x v="0"/>
    <n v="98.05"/>
    <n v="191.46538000000001"/>
    <n v="39.419337385525331"/>
    <n v="778504.12462000002"/>
    <n v="778504.12462000002"/>
    <n v="105.67728"/>
    <n v="6768385537967113"/>
  </r>
  <r>
    <n v="36"/>
    <x v="4"/>
    <s v="THF"/>
    <s v="CP_p"/>
    <n v="1109.0411150568182"/>
    <n v="1109.0370699368061"/>
    <s v="normal"/>
    <n v="0"/>
    <n v="0"/>
    <n v="0"/>
    <s v="DF"/>
    <s v="10-Tropical High Forest"/>
    <s v="71-Cropland_perennial"/>
    <n v="2021"/>
    <n v="2021"/>
    <x v="0"/>
    <x v="0"/>
    <n v="164.5"/>
    <n v="479.40651000000003"/>
    <n v="33.865602147902358"/>
    <n v="531681.53041999997"/>
    <n v="531681.53041999997"/>
    <n v="167.94978"/>
    <n v="7973739194721749"/>
  </r>
  <r>
    <n v="37"/>
    <x v="4"/>
    <s v="THF"/>
    <s v="CP_a"/>
    <n v="4804.9381755350178"/>
    <n v="2838.26224656164"/>
    <s v="normal"/>
    <n v="0"/>
    <n v="0"/>
    <n v="0"/>
    <s v="DF"/>
    <s v="10-Tropical High Forest"/>
    <s v="72-Cropland_annual"/>
    <n v="2021"/>
    <n v="2021"/>
    <x v="0"/>
    <x v="0"/>
    <n v="97.17"/>
    <n v="474.69315999999998"/>
    <n v="34.317662567634372"/>
    <n v="2280871.2861500001"/>
    <n v="2280871.2861500001"/>
    <n v="103.05198"/>
    <n v="5.5247704349663864E+16"/>
  </r>
  <r>
    <n v="38"/>
    <x v="4"/>
    <s v="WD"/>
    <s v="CP_a"/>
    <n v="27452.580016869855"/>
    <n v="6732.1157362376198"/>
    <s v="normal"/>
    <n v="0"/>
    <n v="0"/>
    <n v="0"/>
    <s v="DF"/>
    <s v="30-Woodlands"/>
    <s v="72-Cropland_annual"/>
    <n v="2021"/>
    <n v="2021"/>
    <x v="0"/>
    <x v="0"/>
    <n v="40.340000000000003"/>
    <n v="23.619599999999998"/>
    <n v="123.39922849356405"/>
    <n v="648418.95897000004"/>
    <n v="648418.95897000004"/>
    <n v="129.82560000000001"/>
    <n v="7086504805991527"/>
  </r>
  <r>
    <n v="39"/>
    <x v="4"/>
    <s v="WD"/>
    <s v="GL"/>
    <n v="16573.656022625637"/>
    <n v="5894.9609538434879"/>
    <s v="normal"/>
    <n v="0"/>
    <n v="0"/>
    <n v="0"/>
    <s v="DF"/>
    <s v="30-Woodlands"/>
    <s v="80-Grassland"/>
    <n v="2021"/>
    <n v="2021"/>
    <x v="0"/>
    <x v="0"/>
    <n v="58.51"/>
    <n v="11.0183"/>
    <n v="283.16898810249683"/>
    <n v="182613.51415"/>
    <n v="182613.51415"/>
    <n v="289.15064999999998"/>
    <n v="2788137410822738.5"/>
  </r>
  <r>
    <n v="40"/>
    <x v="4"/>
    <s v="WD_log"/>
    <s v="WD_log_deg"/>
    <n v="6691.2986995760766"/>
    <n v="3407.8720992536423"/>
    <s v="normal"/>
    <n v="0"/>
    <n v="0"/>
    <n v="0"/>
    <s v="DG"/>
    <s v="32-Woodlands"/>
    <s v="42-Woodlands_Degraded_by_logging"/>
    <n v="2021"/>
    <n v="2021"/>
    <x v="0"/>
    <x v="0"/>
    <n v="83.78"/>
    <n v="4.4128299999999996"/>
    <n v="778.23114032964747"/>
    <n v="29527.56364"/>
    <n v="29527.56364"/>
    <n v="782.72779000000003"/>
    <n v="534166607072556.5"/>
  </r>
  <r>
    <n v="41"/>
    <x v="4"/>
    <s v="WD_other"/>
    <s v="WD_other_deg"/>
    <n v="5567.787397137693"/>
    <n v="3377.2145906239803"/>
    <s v="normal"/>
    <n v="0"/>
    <n v="0"/>
    <n v="0"/>
    <s v="DG"/>
    <s v="34-Woodlands"/>
    <s v="44-Woodlands_Degraded_by_other"/>
    <n v="2021"/>
    <n v="2021"/>
    <x v="0"/>
    <x v="0"/>
    <n v="99.78"/>
    <n v="8.3353599999999997"/>
    <n v="400.75531397011844"/>
    <n v="46409.512360000001"/>
    <n v="46409.512360000001"/>
    <n v="412.99016"/>
    <n v="367361313066921.19"/>
  </r>
  <r>
    <n v="42"/>
    <x v="4"/>
    <s v="FPc"/>
    <s v="CP_a"/>
    <n v="1109.0411150568182"/>
    <n v="1109.0370699368061"/>
    <s v="normal"/>
    <n v="0"/>
    <n v="0"/>
    <n v="0"/>
    <s v="DF"/>
    <s v="51-Plantations commercial"/>
    <s v="72-Cropland_annual"/>
    <n v="2021"/>
    <n v="2021"/>
    <x v="0"/>
    <x v="0"/>
    <n v="164.5"/>
    <n v="191.46538000000001"/>
    <n v="39.419337385525331"/>
    <n v="212342.97852999999"/>
    <n v="212342.97852999999"/>
    <n v="169.15713"/>
    <n v="1290198183151293.5"/>
  </r>
  <r>
    <n v="43"/>
    <x v="4"/>
    <s v="FPc"/>
    <s v="GL"/>
    <n v="1109.0411150568182"/>
    <n v="1109.0370699368061"/>
    <s v="normal"/>
    <n v="0"/>
    <n v="0"/>
    <n v="0"/>
    <s v="DF"/>
    <s v="51-Plantations commercial"/>
    <s v="80-Grassland"/>
    <n v="2021"/>
    <n v="2021"/>
    <x v="0"/>
    <x v="0"/>
    <n v="164.5"/>
    <n v="178.86407"/>
    <n v="42.653124890483859"/>
    <n v="198367.60764"/>
    <n v="198367.60764"/>
    <n v="169.93980999999999"/>
    <n v="1136401420815710.8"/>
  </r>
  <r>
    <n v="44"/>
    <x v="4"/>
    <s v="FPnc"/>
    <s v="CP_a"/>
    <n v="2218.0822301136363"/>
    <n v="1567.8885166231225"/>
    <s v="normal"/>
    <n v="0"/>
    <n v="0"/>
    <n v="0"/>
    <s v="DF"/>
    <s v="52-Plantations non commercial"/>
    <s v="72-Cropland_annual"/>
    <n v="2021"/>
    <n v="2021"/>
    <x v="0"/>
    <x v="0"/>
    <n v="116.28"/>
    <n v="191.46538000000001"/>
    <n v="39.419337385525331"/>
    <n v="424685.95705999999"/>
    <n v="424685.95705999999"/>
    <n v="122.77997999999999"/>
    <n v="2718885494599478"/>
  </r>
  <r>
    <n v="45"/>
    <x v="4"/>
    <s v="FPnc"/>
    <s v="GL"/>
    <n v="1109.0411150568182"/>
    <n v="1109.0370699368061"/>
    <s v="normal"/>
    <n v="0"/>
    <n v="0"/>
    <n v="0"/>
    <s v="DF"/>
    <s v="52-Plantations non commercial"/>
    <s v="80-Grassland"/>
    <n v="2021"/>
    <n v="2021"/>
    <x v="0"/>
    <x v="0"/>
    <n v="164.5"/>
    <n v="178.86407"/>
    <n v="42.653124890483859"/>
    <n v="198367.60764"/>
    <n v="198367.60764"/>
    <n v="169.93980999999999"/>
    <n v="1136401420815710.8"/>
  </r>
  <r>
    <n v="46"/>
    <x v="5"/>
    <s v="THF"/>
    <s v="CP_a"/>
    <n v="2218.0822301136363"/>
    <n v="1567.8989100889855"/>
    <s v="normal"/>
    <n v="0"/>
    <n v="0"/>
    <n v="0"/>
    <s v="DF"/>
    <s v="10-Tropical High Forest"/>
    <s v="72-Cropland_annual"/>
    <n v="2022"/>
    <n v="2022"/>
    <x v="1"/>
    <x v="0"/>
    <n v="116.28077"/>
    <n v="474.69315999999998"/>
    <n v="34.317662567634372"/>
    <n v="1052908.4629500001"/>
    <n v="1052908.4629500001"/>
    <n v="121.23909999999999"/>
    <n v="1.6295460595593116E+16"/>
  </r>
  <r>
    <n v="47"/>
    <x v="5"/>
    <s v="THF"/>
    <s v="GL"/>
    <n v="2218.0822301136363"/>
    <n v="1567.8989100889855"/>
    <s v="normal"/>
    <n v="0"/>
    <n v="0"/>
    <n v="0"/>
    <s v="DF"/>
    <s v="10-Tropical High Forest"/>
    <s v="80-Grassland"/>
    <n v="2022"/>
    <n v="2022"/>
    <x v="1"/>
    <x v="0"/>
    <n v="116.28077"/>
    <n v="462.09185000000002"/>
    <n v="35.335744994784008"/>
    <n v="1024957.72117"/>
    <n v="1024957.72117"/>
    <n v="121.5312"/>
    <n v="1.5516275248828442E+16"/>
  </r>
  <r>
    <n v="48"/>
    <x v="5"/>
    <s v="WD"/>
    <s v="CP_a"/>
    <n v="17510.981959727244"/>
    <n v="5511.3933617013945"/>
    <s v="normal"/>
    <n v="0"/>
    <n v="0"/>
    <n v="0"/>
    <s v="DF"/>
    <s v="30-Woodlands"/>
    <s v="72-Cropland_annual"/>
    <n v="2022"/>
    <n v="2022"/>
    <x v="1"/>
    <x v="0"/>
    <n v="51.774799999999999"/>
    <n v="23.619599999999998"/>
    <n v="123.39922849356405"/>
    <n v="413602.38949999999"/>
    <n v="413602.38949999999"/>
    <n v="133.82077000000001"/>
    <n v="3063466441193434.5"/>
  </r>
  <r>
    <n v="49"/>
    <x v="5"/>
    <s v="WD"/>
    <s v="GL"/>
    <n v="10426.967738423"/>
    <n v="3803.487763618738"/>
    <s v="normal"/>
    <n v="0"/>
    <n v="0"/>
    <n v="0"/>
    <s v="DF"/>
    <s v="30-Woodlands"/>
    <s v="80-Grassland"/>
    <n v="2022"/>
    <n v="2022"/>
    <x v="1"/>
    <x v="0"/>
    <n v="60.005560000000003"/>
    <n v="11.0183"/>
    <n v="283.16898810249683"/>
    <n v="114887.45862999999"/>
    <n v="114887.45862999999"/>
    <n v="289.45697999999999"/>
    <n v="1105893482960516.5"/>
  </r>
  <r>
    <n v="50"/>
    <x v="5"/>
    <s v="WD_fire"/>
    <s v="WD_fire_deg"/>
    <n v="1109"/>
    <n v="1109.0723820441096"/>
    <s v="normal"/>
    <n v="0"/>
    <n v="0"/>
    <n v="0"/>
    <s v="DG"/>
    <s v="31-Woodlands"/>
    <s v="41-Woodlands_Degraded_by_fire"/>
    <n v="2022"/>
    <n v="2022"/>
    <x v="1"/>
    <x v="0"/>
    <n v="164.51133999999999"/>
    <n v="12.13527"/>
    <n v="265.45511134864205"/>
    <n v="13458.014429999999"/>
    <n v="13458.014429999999"/>
    <n v="312.29856999999998"/>
    <n v="17664525275423.383"/>
  </r>
  <r>
    <n v="51"/>
    <x v="5"/>
    <s v="WD_log"/>
    <s v="WD_log_deg"/>
    <n v="6047"/>
    <n v="4323.2948940149017"/>
    <s v="normal"/>
    <n v="0"/>
    <n v="0"/>
    <n v="0"/>
    <s v="DG"/>
    <s v="32-Woodlands"/>
    <s v="42-Woodlands_Degraded_by_logging"/>
    <n v="2022"/>
    <n v="2022"/>
    <x v="1"/>
    <x v="0"/>
    <n v="117.60948999999999"/>
    <n v="4.4128299999999996"/>
    <n v="778.23114032964747"/>
    <n v="26684.383010000001"/>
    <n v="26684.383010000001"/>
    <n v="787.06778999999995"/>
    <n v="441101577102638.88"/>
  </r>
  <r>
    <n v="52"/>
    <x v="5"/>
    <s v="WD_other"/>
    <s v="WD_other_deg"/>
    <n v="2218.0822338888702"/>
    <n v="1567.8989100889855"/>
    <s v="normal"/>
    <n v="0"/>
    <n v="0"/>
    <n v="0"/>
    <s v="DG"/>
    <s v="34-Woodlands"/>
    <s v="44-Woodlands_Degraded_by_other"/>
    <n v="2022"/>
    <n v="2022"/>
    <x v="1"/>
    <x v="0"/>
    <n v="116.28077"/>
    <n v="8.3353599999999997"/>
    <n v="400.75531397011844"/>
    <n v="18488.513930000001"/>
    <n v="18488.513930000001"/>
    <n v="417.28411999999997"/>
    <n v="59520658186283.047"/>
  </r>
  <r>
    <n v="53"/>
    <x v="5"/>
    <s v="FPc"/>
    <s v="CP_a"/>
    <n v="1109.0723820441096"/>
    <n v="1109.0723820441096"/>
    <s v="normal"/>
    <n v="0"/>
    <n v="0"/>
    <n v="0"/>
    <s v="DF"/>
    <s v="51-Plantations commercial"/>
    <s v="72-Cropland_annual"/>
    <n v="2022"/>
    <n v="2022"/>
    <x v="1"/>
    <x v="0"/>
    <n v="164.50059999999999"/>
    <n v="191.46538000000001"/>
    <n v="39.419337385525331"/>
    <n v="212348.96507999999"/>
    <n v="212348.96507999999"/>
    <n v="169.15771000000001"/>
    <n v="1290279780945094"/>
  </r>
  <r>
    <n v="54"/>
    <x v="5"/>
    <s v="FPnc"/>
    <s v="CP_a"/>
    <n v="3327.1233451704543"/>
    <n v="1919.5872525257344"/>
    <s v="normal"/>
    <n v="0"/>
    <n v="0"/>
    <n v="0"/>
    <s v="DF"/>
    <s v="52-Plantations non commercial"/>
    <s v="72-Cropland_annual"/>
    <n v="2022"/>
    <n v="2022"/>
    <x v="1"/>
    <x v="0"/>
    <n v="94.908789999999996"/>
    <n v="191.46538000000001"/>
    <n v="39.419337385525331"/>
    <n v="637028.93559000001"/>
    <n v="637028.93559000001"/>
    <n v="102.76946"/>
    <n v="4285943763772783.5"/>
  </r>
  <r>
    <n v="55"/>
    <x v="5"/>
    <s v="FPnc"/>
    <s v="GL"/>
    <n v="1109.0411150568182"/>
    <n v="1109.0723820441096"/>
    <s v="normal"/>
    <n v="0"/>
    <n v="0"/>
    <n v="0"/>
    <s v="DF"/>
    <s v="52-Plantations non commercial"/>
    <s v="80-Grassland"/>
    <n v="2022"/>
    <n v="2022"/>
    <x v="1"/>
    <x v="0"/>
    <n v="164.50523999999999"/>
    <n v="178.86407"/>
    <n v="42.653124890483859"/>
    <n v="198367.60764"/>
    <n v="198367.60764"/>
    <n v="169.94488000000001"/>
    <n v="1136469228837256"/>
  </r>
  <r>
    <n v="56"/>
    <x v="6"/>
    <s v="THF"/>
    <s v="CP_a"/>
    <n v="2995.4016390978768"/>
    <n v="2188.2035887964166"/>
    <s v="normal"/>
    <n v="0"/>
    <n v="0"/>
    <n v="0"/>
    <s v="DF"/>
    <s v="10-Tropical High Forest"/>
    <s v="72-Cropland_annual"/>
    <n v="2023"/>
    <n v="2023"/>
    <x v="2"/>
    <x v="0"/>
    <n v="120.17113000000001"/>
    <n v="474.69315999999998"/>
    <n v="34.317662567634372"/>
    <n v="1421896.6695300001"/>
    <n v="1421896.6695300001"/>
    <n v="124.97521"/>
    <n v="3.1577942117164272E+16"/>
  </r>
  <r>
    <n v="57"/>
    <x v="6"/>
    <s v="THF"/>
    <s v="GL"/>
    <n v="1109.0411150568182"/>
    <n v="1109.0723820441096"/>
    <s v="normal"/>
    <n v="0"/>
    <n v="0"/>
    <n v="0"/>
    <s v="DF"/>
    <s v="10-Tropical High Forest"/>
    <s v="80-Grassland"/>
    <n v="2023"/>
    <n v="2023"/>
    <x v="2"/>
    <x v="0"/>
    <n v="164.50523999999999"/>
    <n v="462.09185000000002"/>
    <n v="35.335744994784008"/>
    <n v="512478.86057999998"/>
    <n v="512478.86057999998"/>
    <n v="168.25751"/>
    <n v="7435339899848330"/>
  </r>
  <r>
    <n v="58"/>
    <x v="6"/>
    <s v="THF_otha"/>
    <s v="THF_otha_deg"/>
    <n v="1109.0411150568182"/>
    <n v="1109.0723820441096"/>
    <s v="normal"/>
    <n v="0"/>
    <n v="0"/>
    <n v="0"/>
    <s v="DG"/>
    <s v="11-Tropical High Forest"/>
    <s v="21-Tropical High Forest Degraded by other"/>
    <n v="2023"/>
    <n v="2023"/>
    <x v="2"/>
    <x v="0"/>
    <n v="164.50523999999999"/>
    <n v="100.35436"/>
    <n v="230.99057723122078"/>
    <n v="111297.11132"/>
    <n v="111297.11132"/>
    <n v="283.58177000000001"/>
    <n v="996149228087256.88"/>
  </r>
  <r>
    <n v="59"/>
    <x v="6"/>
    <s v="WD"/>
    <s v="CP_a"/>
    <n v="17366.805603558201"/>
    <n v="5653.9525756718413"/>
    <s v="normal"/>
    <n v="0"/>
    <n v="0"/>
    <n v="0"/>
    <s v="DF"/>
    <s v="30-Woodlands"/>
    <s v="72-Cropland_annual"/>
    <n v="2023"/>
    <n v="2023"/>
    <x v="2"/>
    <x v="0"/>
    <n v="53.554960000000001"/>
    <n v="23.619599999999998"/>
    <n v="123.39922849356405"/>
    <n v="410197.00163000001"/>
    <n v="410197.00163000001"/>
    <n v="134.51953"/>
    <n v="3044778088408651"/>
  </r>
  <r>
    <n v="60"/>
    <x v="6"/>
    <s v="WD"/>
    <s v="GL"/>
    <n v="9649.6483294387854"/>
    <n v="3483.25"/>
    <s v="normal"/>
    <n v="0"/>
    <n v="0"/>
    <n v="0"/>
    <s v="DF"/>
    <s v="30-Woodlands"/>
    <s v="80-Grassland"/>
    <n v="2023"/>
    <n v="2023"/>
    <x v="2"/>
    <x v="0"/>
    <n v="59.38006"/>
    <n v="11.0183"/>
    <n v="283.16898810249683"/>
    <n v="106322.72018999999"/>
    <n v="106322.72018999999"/>
    <n v="289.32796000000002"/>
    <n v="946308994930791.12"/>
  </r>
  <r>
    <n v="61"/>
    <x v="6"/>
    <s v="WD_fire"/>
    <s v="WD_fire_deg"/>
    <n v="3681"/>
    <n v="2801.23"/>
    <s v="normal"/>
    <n v="0"/>
    <n v="0"/>
    <n v="0"/>
    <s v="DG"/>
    <s v="31-Woodlands"/>
    <s v="41-Woodlands_Degraded_by_fire"/>
    <n v="2023"/>
    <n v="2023"/>
    <x v="2"/>
    <x v="0"/>
    <n v="125.18447"/>
    <n v="12.13527"/>
    <n v="265.45511134864205"/>
    <n v="44669.928870000003"/>
    <n v="44669.928870000003"/>
    <n v="293.49202000000002"/>
    <n v="171879118046377.34"/>
  </r>
  <r>
    <n v="62"/>
    <x v="6"/>
    <s v="WD_other"/>
    <s v="WD_other_deg"/>
    <n v="1109"/>
    <n v="1109.0723820441096"/>
    <s v="normal"/>
    <n v="0"/>
    <n v="0"/>
    <n v="0"/>
    <s v="DG"/>
    <s v="34-Woodlands"/>
    <s v="44-Woodlands_Degraded_by_other"/>
    <n v="2023"/>
    <n v="2023"/>
    <x v="2"/>
    <x v="0"/>
    <n v="164.51133999999999"/>
    <n v="8.3353599999999997"/>
    <n v="400.75531397011844"/>
    <n v="9243.9142400000001"/>
    <n v="9243.9142400000001"/>
    <n v="433.20756999999998"/>
    <n v="16036289555347.814"/>
  </r>
  <r>
    <n v="63"/>
    <x v="6"/>
    <s v="FPc"/>
    <s v="CP_a"/>
    <n v="1109.0723820441096"/>
    <n v="1109.0723820441096"/>
    <s v="normal"/>
    <n v="0"/>
    <n v="0"/>
    <n v="0"/>
    <s v="DF"/>
    <s v="51-Plantations commercial"/>
    <s v="72-Cropland_annual"/>
    <n v="2023"/>
    <n v="2023"/>
    <x v="2"/>
    <x v="0"/>
    <n v="164.50059999999999"/>
    <n v="191.46538000000001"/>
    <n v="39.419337385525331"/>
    <n v="212348.96507999999"/>
    <n v="212348.96507999999"/>
    <n v="169.15771000000001"/>
    <n v="1290279780945094"/>
  </r>
  <r>
    <n v="64"/>
    <x v="6"/>
    <s v="FPc"/>
    <s v="GL"/>
    <n v="3695.8970604781998"/>
    <n v="2612.5239606774985"/>
    <s v="normal"/>
    <n v="0"/>
    <n v="0"/>
    <n v="0"/>
    <s v="DF"/>
    <s v="51-Plantations commercial"/>
    <s v="80-Grassland"/>
    <n v="2023"/>
    <n v="2023"/>
    <x v="2"/>
    <x v="0"/>
    <n v="116.28077"/>
    <n v="178.86407"/>
    <n v="42.653124890483859"/>
    <n v="661063.19053999998"/>
    <n v="661063.19053999998"/>
    <n v="123.85680000000001"/>
    <n v="6703871192874611"/>
  </r>
  <r>
    <n v="65"/>
    <x v="6"/>
    <s v="FPnc"/>
    <s v="CP_a"/>
    <n v="1886.3605240410589"/>
    <n v="1886.4137058480558"/>
    <s v="normal"/>
    <n v="0"/>
    <n v="0"/>
    <n v="0"/>
    <s v="DF"/>
    <s v="52-Plantations non commercial"/>
    <s v="72-Cropland_annual"/>
    <n v="2023"/>
    <n v="2023"/>
    <x v="2"/>
    <x v="0"/>
    <n v="164.50523999999999"/>
    <n v="191.46538000000001"/>
    <n v="39.419337385525331"/>
    <n v="361172.73454999999"/>
    <n v="361172.73454999999"/>
    <n v="169.16221999999999"/>
    <n v="3732816719427958"/>
  </r>
  <r>
    <n v="66"/>
    <x v="7"/>
    <s v="THF"/>
    <s v="CP_p"/>
    <n v="600"/>
    <n v="599.577"/>
    <s v="normal"/>
    <n v="0"/>
    <n v="0"/>
    <n v="0"/>
    <s v="DF"/>
    <s v="10-Tropical High Forest"/>
    <s v="71-Cropland_perennial"/>
    <n v="2024"/>
    <n v="2024"/>
    <x v="2"/>
    <x v="0"/>
    <n v="164.38462999999999"/>
    <n v="479.40651000000003"/>
    <n v="33.865602147902358"/>
    <n v="287643.90600000002"/>
    <n v="287643.90600000002"/>
    <n v="167.83678"/>
    <n v="2330690643880326"/>
  </r>
  <r>
    <n v="67"/>
    <x v="7"/>
    <s v="THF_log"/>
    <s v="THF_log_deg"/>
    <n v="7749"/>
    <n v="4466.88"/>
    <s v="normal"/>
    <n v="0"/>
    <n v="0"/>
    <n v="0"/>
    <s v="DG"/>
    <s v="12-Tropical High Forest"/>
    <s v="22-Tropical High Forest Degraded by logging"/>
    <n v="2024"/>
    <n v="2024"/>
    <x v="2"/>
    <x v="0"/>
    <n v="94.825710000000001"/>
    <n v="53.128790000000002"/>
    <n v="430.15568825406905"/>
    <n v="411694.99371000001"/>
    <n v="411694.99371000001"/>
    <n v="440.48363000000001"/>
    <n v="3.288597467181298E+16"/>
  </r>
  <r>
    <n v="68"/>
    <x v="7"/>
    <s v="WD"/>
    <s v="CP_p"/>
    <n v="6141"/>
    <n v="3929"/>
    <s v="normal"/>
    <n v="0"/>
    <n v="0"/>
    <n v="0"/>
    <s v="DF"/>
    <s v="30-Woodlands"/>
    <s v="71-Cropland_perennial"/>
    <n v="2024"/>
    <n v="2024"/>
    <x v="2"/>
    <x v="0"/>
    <n v="105.24717"/>
    <n v="28.33296"/>
    <n v="91.406908473825453"/>
    <n v="173992.70736"/>
    <n v="173992.70736"/>
    <n v="139.39939000000001"/>
    <n v="588279667661927.38"/>
  </r>
  <r>
    <n v="69"/>
    <x v="7"/>
    <s v="WD"/>
    <s v="GL"/>
    <n v="15958"/>
    <n v="6971.08"/>
    <s v="normal"/>
    <n v="0"/>
    <n v="0"/>
    <n v="0"/>
    <s v="DF"/>
    <s v="30-Woodlands"/>
    <s v="80-Grassland"/>
    <n v="2024"/>
    <n v="2024"/>
    <x v="2"/>
    <x v="0"/>
    <n v="71.860309999999998"/>
    <n v="11.0183"/>
    <n v="283.16898810249683"/>
    <n v="175830.03140000001"/>
    <n v="175830.03140000001"/>
    <n v="292.14479"/>
    <n v="2638653712245354"/>
  </r>
  <r>
    <n v="70"/>
    <x v="7"/>
    <s v="WD"/>
    <s v="Set"/>
    <n v="600"/>
    <n v="599.97699999999998"/>
    <s v="normal"/>
    <n v="0"/>
    <n v="0"/>
    <n v="0"/>
    <s v="DF"/>
    <s v="30-Woodlands"/>
    <s v="90-Settlement"/>
    <n v="2024"/>
    <n v="2024"/>
    <x v="2"/>
    <x v="0"/>
    <n v="164.49430000000001"/>
    <n v="40.859540000000003"/>
    <n v="61.806069999999998"/>
    <n v="24515.723999999998"/>
    <n v="24515.723999999998"/>
    <n v="175.72241"/>
    <n v="18558537491006.508"/>
  </r>
  <r>
    <n v="71"/>
    <x v="7"/>
    <s v="WD_log"/>
    <s v="WD_log_deg"/>
    <n v="2806.3925051628653"/>
    <n v="2286.73"/>
    <s v="normal"/>
    <n v="0"/>
    <n v="0"/>
    <n v="0"/>
    <s v="DG"/>
    <s v="32-Woodlands"/>
    <s v="42-Woodlands_Degraded_by_logging"/>
    <n v="2024"/>
    <n v="2024"/>
    <x v="2"/>
    <x v="0"/>
    <n v="134.03986"/>
    <n v="4.4128299999999996"/>
    <n v="778.23114032964747"/>
    <n v="12384.133040000001"/>
    <n v="12384.133040000001"/>
    <n v="789.69006000000002"/>
    <n v="95641099631518.781"/>
  </r>
  <r>
    <n v="72"/>
    <x v="7"/>
    <s v="WD_other"/>
    <s v="WD_other_deg"/>
    <n v="3743.100845468417"/>
    <n v="3743.09"/>
    <s v="normal"/>
    <n v="0"/>
    <n v="0"/>
    <n v="0"/>
    <s v="DG"/>
    <s v="34-Woodlands"/>
    <s v="44-Woodlands_Degraded_by_other"/>
    <n v="2024"/>
    <n v="2024"/>
    <x v="2"/>
    <x v="0"/>
    <n v="164.50013000000001"/>
    <n v="8.3353599999999997"/>
    <n v="400.75531397011844"/>
    <n v="31200.093059999999"/>
    <n v="31200.093059999999"/>
    <n v="433.20332000000002"/>
    <n v="182681820728318"/>
  </r>
  <r>
    <n v="73"/>
    <x v="7"/>
    <s v="FPnc"/>
    <s v="CP_p"/>
    <n v="3406"/>
    <n v="2363.0682912226885"/>
    <s v="normal"/>
    <n v="0"/>
    <n v="0"/>
    <n v="0"/>
    <s v="DF"/>
    <s v="52-Plantations non commercial"/>
    <s v="71-Cropland_perennial"/>
    <n v="2024"/>
    <n v="2024"/>
    <x v="2"/>
    <x v="0"/>
    <n v="114.12982"/>
    <n v="196.17873"/>
    <n v="37.863678475902866"/>
    <n v="668184.75438000006"/>
    <n v="668184.75438000006"/>
    <n v="120.24672"/>
    <n v="64556444373100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58BE54-DBFC-6347-9350-65FC43EC1E5B}" name="PivotTable1"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L26" firstHeaderRow="1" firstDataRow="3" firstDataCol="2"/>
  <pivotFields count="13">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21">
        <item x="14"/>
        <item x="11"/>
        <item x="10"/>
        <item x="8"/>
        <item x="9"/>
        <item x="12"/>
        <item x="13"/>
        <item x="0"/>
        <item x="2"/>
        <item x="16"/>
        <item x="1"/>
        <item x="15"/>
        <item x="3"/>
        <item x="6"/>
        <item x="19"/>
        <item x="4"/>
        <item x="17"/>
        <item x="5"/>
        <item x="18"/>
        <item x="7"/>
        <item x="20"/>
      </items>
      <extLst>
        <ext xmlns:x14="http://schemas.microsoft.com/office/spreadsheetml/2009/9/main" uri="{2946ED86-A175-432a-8AC1-64E0C546D7DE}">
          <x14:pivotField fillDownLabels="1"/>
        </ext>
      </extLst>
    </pivotField>
    <pivotField axis="axisCol" compact="0" outline="0" showAll="0" defaultSubtotal="0">
      <items count="5">
        <item x="0"/>
        <item x="1"/>
        <item x="2"/>
        <item x="3"/>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numFmtId="2" outline="0" subtotalTop="0" showAll="0" defaultSubtotal="0">
      <extLst>
        <ext xmlns:x14="http://schemas.microsoft.com/office/spreadsheetml/2009/9/main" uri="{2946ED86-A175-432a-8AC1-64E0C546D7DE}">
          <x14:pivotField fillDownLabels="1"/>
        </ext>
      </extLst>
    </pivotField>
  </pivotFields>
  <rowFields count="2">
    <field x="1"/>
    <field x="2"/>
  </rowFields>
  <rowItems count="21">
    <i>
      <x/>
      <x/>
    </i>
    <i r="1">
      <x v="1"/>
    </i>
    <i r="1">
      <x v="2"/>
    </i>
    <i r="1">
      <x v="3"/>
    </i>
    <i r="1">
      <x v="4"/>
    </i>
    <i r="1">
      <x v="5"/>
    </i>
    <i r="1">
      <x v="6"/>
    </i>
    <i r="1">
      <x v="7"/>
    </i>
    <i r="1">
      <x v="8"/>
    </i>
    <i r="1">
      <x v="9"/>
    </i>
    <i r="1">
      <x v="10"/>
    </i>
    <i r="1">
      <x v="11"/>
    </i>
    <i r="1">
      <x v="12"/>
    </i>
    <i r="1">
      <x v="13"/>
    </i>
    <i r="1">
      <x v="14"/>
    </i>
    <i r="1">
      <x v="15"/>
    </i>
    <i r="1">
      <x v="16"/>
    </i>
    <i r="1">
      <x v="17"/>
    </i>
    <i r="1">
      <x v="18"/>
    </i>
    <i r="1">
      <x v="19"/>
    </i>
    <i r="1">
      <x v="20"/>
    </i>
  </rowItems>
  <colFields count="2">
    <field x="3"/>
    <field x="-2"/>
  </colFields>
  <colItems count="10">
    <i>
      <x/>
      <x/>
    </i>
    <i r="1" i="1">
      <x v="1"/>
    </i>
    <i>
      <x v="1"/>
      <x/>
    </i>
    <i r="1" i="1">
      <x v="1"/>
    </i>
    <i>
      <x v="2"/>
      <x/>
    </i>
    <i r="1" i="1">
      <x v="1"/>
    </i>
    <i>
      <x v="3"/>
      <x/>
    </i>
    <i r="1" i="1">
      <x v="1"/>
    </i>
    <i>
      <x v="4"/>
      <x/>
    </i>
    <i r="1" i="1">
      <x v="1"/>
    </i>
  </colItems>
  <dataFields count="2">
    <dataField name="Sum of c_value" fld="5" baseField="0" baseItem="0"/>
    <dataField name="Sum of opt_c_uperc" fld="12"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F54E15-736B-0B46-9460-D114811B2F2D}" name="PivotTable2" cacheId="1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B3:F11" firstHeaderRow="0" firstDataRow="1" firstDataCol="3"/>
  <pivotFields count="24">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8">
        <item x="0"/>
        <item x="1"/>
        <item x="2"/>
        <item x="3"/>
        <item x="4"/>
        <item x="5"/>
        <item x="6"/>
        <item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2"/>
        <item x="1"/>
        <item x="0"/>
      </items>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dataField="1" compact="0" numFmtId="164"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dataField="1" compact="0" numFmtId="43" outline="0" subtotalTop="0" showAll="0" defaultSubtotal="0">
      <extLst>
        <ext xmlns:x14="http://schemas.microsoft.com/office/spreadsheetml/2009/9/main" uri="{2946ED86-A175-432a-8AC1-64E0C546D7DE}">
          <x14:pivotField fillDownLabels="1"/>
        </ext>
      </extLst>
    </pivotField>
  </pivotFields>
  <rowFields count="3">
    <field x="15"/>
    <field x="1"/>
    <field x="16"/>
  </rowFields>
  <rowItems count="8">
    <i>
      <x/>
      <x v="6"/>
      <x/>
    </i>
    <i r="1">
      <x v="7"/>
      <x/>
    </i>
    <i>
      <x v="1"/>
      <x v="5"/>
      <x/>
    </i>
    <i>
      <x v="2"/>
      <x/>
      <x/>
    </i>
    <i r="1">
      <x v="1"/>
      <x/>
    </i>
    <i r="1">
      <x v="2"/>
      <x/>
    </i>
    <i r="1">
      <x v="3"/>
      <x/>
    </i>
    <i r="1">
      <x v="4"/>
      <x/>
    </i>
  </rowItems>
  <colFields count="1">
    <field x="-2"/>
  </colFields>
  <colItems count="2">
    <i>
      <x/>
    </i>
    <i i="1">
      <x v="1"/>
    </i>
  </colItems>
  <dataFields count="2">
    <dataField name="Sum of E_year" fld="21" baseField="0" baseItem="0" numFmtId="164"/>
    <dataField name="Sum of ExUperc2" fld="23" baseField="0"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BF9ED-962A-4052-B1F5-998810052CFD}">
  <dimension ref="A1:A13"/>
  <sheetViews>
    <sheetView topLeftCell="A8" workbookViewId="0">
      <selection activeCell="A17" sqref="A17"/>
    </sheetView>
  </sheetViews>
  <sheetFormatPr baseColWidth="10" defaultColWidth="10.83203125" defaultRowHeight="13" x14ac:dyDescent="0.15"/>
  <cols>
    <col min="1" max="1" width="70.5" style="15" customWidth="1"/>
    <col min="2" max="16384" width="10.83203125" style="3"/>
  </cols>
  <sheetData>
    <row r="1" spans="1:1" ht="34" x14ac:dyDescent="0.15">
      <c r="A1" s="10" t="s">
        <v>0</v>
      </c>
    </row>
    <row r="2" spans="1:1" ht="16" x14ac:dyDescent="0.15">
      <c r="A2" s="10"/>
    </row>
    <row r="3" spans="1:1" ht="28" x14ac:dyDescent="0.15">
      <c r="A3" s="11" t="s">
        <v>1</v>
      </c>
    </row>
    <row r="4" spans="1:1" ht="210" x14ac:dyDescent="0.15">
      <c r="A4" s="12" t="s">
        <v>2</v>
      </c>
    </row>
    <row r="5" spans="1:1" x14ac:dyDescent="0.15">
      <c r="A5" s="13"/>
    </row>
    <row r="6" spans="1:1" ht="14" x14ac:dyDescent="0.15">
      <c r="A6" s="11" t="s">
        <v>3</v>
      </c>
    </row>
    <row r="7" spans="1:1" ht="168" x14ac:dyDescent="0.15">
      <c r="A7" s="12" t="s">
        <v>4</v>
      </c>
    </row>
    <row r="8" spans="1:1" x14ac:dyDescent="0.15">
      <c r="A8" s="12"/>
    </row>
    <row r="9" spans="1:1" ht="14" x14ac:dyDescent="0.15">
      <c r="A9" s="11" t="s">
        <v>5</v>
      </c>
    </row>
    <row r="10" spans="1:1" ht="98" x14ac:dyDescent="0.15">
      <c r="A10" s="12" t="s">
        <v>6</v>
      </c>
    </row>
    <row r="11" spans="1:1" x14ac:dyDescent="0.15">
      <c r="A11" s="12"/>
    </row>
    <row r="12" spans="1:1" ht="14" x14ac:dyDescent="0.15">
      <c r="A12" s="14" t="s">
        <v>7</v>
      </c>
    </row>
    <row r="13" spans="1:1" ht="28" x14ac:dyDescent="0.15">
      <c r="A13" s="15"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zoomScale="141" zoomScaleNormal="141" workbookViewId="0">
      <selection sqref="A1:XFD1"/>
    </sheetView>
  </sheetViews>
  <sheetFormatPr baseColWidth="10" defaultColWidth="12.5" defaultRowHeight="15" customHeight="1" x14ac:dyDescent="0.15"/>
  <cols>
    <col min="1" max="1" width="17" customWidth="1"/>
    <col min="2" max="2" width="70.5" customWidth="1"/>
    <col min="3" max="26" width="10.5" customWidth="1"/>
  </cols>
  <sheetData>
    <row r="1" spans="1:2" s="1" customFormat="1" ht="16" x14ac:dyDescent="0.2">
      <c r="A1" s="2" t="s">
        <v>9</v>
      </c>
      <c r="B1" s="2" t="s">
        <v>10</v>
      </c>
    </row>
    <row r="2" spans="1:2" ht="12.75" customHeight="1" x14ac:dyDescent="0.15">
      <c r="A2" s="5" t="s">
        <v>11</v>
      </c>
      <c r="B2" s="5" t="s">
        <v>12</v>
      </c>
    </row>
    <row r="3" spans="1:2" ht="12.75" customHeight="1" x14ac:dyDescent="0.15">
      <c r="A3" s="5" t="s">
        <v>13</v>
      </c>
      <c r="B3" s="5" t="s">
        <v>14</v>
      </c>
    </row>
    <row r="4" spans="1:2" ht="12.75" customHeight="1" x14ac:dyDescent="0.15">
      <c r="A4" s="5" t="s">
        <v>15</v>
      </c>
      <c r="B4" s="5" t="s">
        <v>16</v>
      </c>
    </row>
    <row r="5" spans="1:2" ht="12.75" customHeight="1" x14ac:dyDescent="0.15">
      <c r="A5" s="5" t="s">
        <v>17</v>
      </c>
      <c r="B5" s="5" t="s">
        <v>18</v>
      </c>
    </row>
    <row r="6" spans="1:2" ht="12.75" customHeight="1" x14ac:dyDescent="0.15">
      <c r="A6" s="5" t="s">
        <v>19</v>
      </c>
      <c r="B6" s="5" t="s">
        <v>20</v>
      </c>
    </row>
    <row r="7" spans="1:2" ht="12.75" customHeight="1" x14ac:dyDescent="0.15">
      <c r="A7" s="5" t="s">
        <v>21</v>
      </c>
      <c r="B7" s="5" t="s">
        <v>22</v>
      </c>
    </row>
    <row r="8" spans="1:2" ht="12.75" customHeight="1" x14ac:dyDescent="0.15">
      <c r="A8" s="5" t="s">
        <v>23</v>
      </c>
      <c r="B8" s="5" t="s">
        <v>24</v>
      </c>
    </row>
    <row r="9" spans="1:2" ht="12.75" customHeight="1" x14ac:dyDescent="0.15">
      <c r="A9" s="5" t="s">
        <v>25</v>
      </c>
      <c r="B9" s="6" t="s">
        <v>26</v>
      </c>
    </row>
    <row r="10" spans="1:2" ht="12.75" customHeight="1" x14ac:dyDescent="0.15">
      <c r="A10" s="5" t="s">
        <v>27</v>
      </c>
      <c r="B10" s="6" t="s">
        <v>28</v>
      </c>
    </row>
    <row r="11" spans="1:2" ht="12.75" customHeight="1" x14ac:dyDescent="0.15">
      <c r="A11" s="5" t="s">
        <v>29</v>
      </c>
      <c r="B11" s="5" t="s">
        <v>30</v>
      </c>
    </row>
    <row r="12" spans="1:2" ht="12.75" customHeight="1" x14ac:dyDescent="0.15">
      <c r="A12" s="5" t="s">
        <v>31</v>
      </c>
      <c r="B12" s="5" t="s">
        <v>32</v>
      </c>
    </row>
    <row r="13" spans="1:2" ht="12.75" customHeight="1" x14ac:dyDescent="0.15"/>
    <row r="14" spans="1:2" ht="12.75" customHeight="1" x14ac:dyDescent="0.15"/>
    <row r="15" spans="1:2" ht="12.75" customHeight="1" x14ac:dyDescent="0.15"/>
    <row r="16" spans="1:2" ht="12.75" customHeight="1" x14ac:dyDescent="0.15"/>
    <row r="17" ht="12.75" customHeight="1" x14ac:dyDescent="0.15"/>
    <row r="18" ht="12.75" customHeight="1" x14ac:dyDescent="0.15"/>
    <row r="19" ht="12.75" customHeight="1" x14ac:dyDescent="0.15"/>
    <row r="20" ht="12.75" customHeight="1" x14ac:dyDescent="0.15"/>
    <row r="21" ht="12.75" customHeight="1" x14ac:dyDescent="0.15"/>
    <row r="22" ht="12.75" customHeight="1" x14ac:dyDescent="0.15"/>
    <row r="23" ht="12.75" customHeight="1" x14ac:dyDescent="0.15"/>
    <row r="24" ht="12.75" customHeight="1" x14ac:dyDescent="0.15"/>
    <row r="25" ht="12.75" customHeight="1" x14ac:dyDescent="0.15"/>
    <row r="26" ht="12.75" customHeight="1" x14ac:dyDescent="0.15"/>
    <row r="27" ht="12.75" customHeight="1" x14ac:dyDescent="0.15"/>
    <row r="28" ht="12.75" customHeight="1" x14ac:dyDescent="0.15"/>
    <row r="29" ht="12.75" customHeight="1" x14ac:dyDescent="0.15"/>
    <row r="30" ht="12.75" customHeight="1" x14ac:dyDescent="0.15"/>
    <row r="31" ht="12.75" customHeight="1" x14ac:dyDescent="0.15"/>
    <row r="32"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tabSelected="1" zoomScale="125" zoomScaleNormal="125" workbookViewId="0">
      <selection activeCell="A3" sqref="A3"/>
    </sheetView>
  </sheetViews>
  <sheetFormatPr baseColWidth="10" defaultColWidth="12.5" defaultRowHeight="15" customHeight="1" x14ac:dyDescent="0.15"/>
  <cols>
    <col min="1" max="1" width="10.5" customWidth="1"/>
    <col min="2" max="2" width="6.5" customWidth="1"/>
    <col min="3" max="3" width="10.1640625" customWidth="1"/>
    <col min="4" max="4" width="7" customWidth="1"/>
    <col min="5" max="5" width="10.83203125" customWidth="1"/>
    <col min="6" max="6" width="11" bestFit="1" customWidth="1"/>
    <col min="7" max="7" width="6.33203125" bestFit="1" customWidth="1"/>
    <col min="8" max="8" width="13" bestFit="1" customWidth="1"/>
    <col min="9" max="9" width="10.33203125" bestFit="1" customWidth="1"/>
    <col min="10" max="11" width="11" customWidth="1"/>
    <col min="12" max="12" width="13.1640625" customWidth="1"/>
    <col min="13" max="26" width="10.5" customWidth="1"/>
  </cols>
  <sheetData>
    <row r="1" spans="1:9" s="2" customFormat="1" ht="16" x14ac:dyDescent="0.2">
      <c r="A1" s="2" t="s">
        <v>13</v>
      </c>
      <c r="B1" s="2" t="s">
        <v>17</v>
      </c>
      <c r="C1" s="2" t="s">
        <v>25</v>
      </c>
      <c r="D1" s="2" t="s">
        <v>27</v>
      </c>
      <c r="E1" s="2" t="s">
        <v>29</v>
      </c>
      <c r="F1" s="2" t="s">
        <v>31</v>
      </c>
      <c r="G1" s="2" t="s">
        <v>127</v>
      </c>
      <c r="H1" s="2" t="s">
        <v>15</v>
      </c>
      <c r="I1" s="2" t="s">
        <v>11</v>
      </c>
    </row>
    <row r="2" spans="1:9" ht="12.75" customHeight="1" x14ac:dyDescent="0.15">
      <c r="A2" s="4">
        <v>10000</v>
      </c>
      <c r="B2" s="3" t="s">
        <v>33</v>
      </c>
      <c r="C2" s="3" t="s">
        <v>128</v>
      </c>
      <c r="D2" s="3" t="s">
        <v>35</v>
      </c>
      <c r="E2" s="4" t="b">
        <v>1</v>
      </c>
      <c r="F2" s="4">
        <v>0.9</v>
      </c>
      <c r="G2">
        <v>2</v>
      </c>
      <c r="H2" s="3">
        <v>3980</v>
      </c>
      <c r="I2" s="4" t="b">
        <v>0</v>
      </c>
    </row>
    <row r="3" spans="1:9" ht="12.75" customHeight="1" x14ac:dyDescent="0.15"/>
    <row r="4" spans="1:9" ht="12.75" customHeight="1" x14ac:dyDescent="0.15"/>
    <row r="5" spans="1:9" ht="12.75" customHeight="1" x14ac:dyDescent="0.15"/>
    <row r="6" spans="1:9" ht="12.75" customHeight="1" x14ac:dyDescent="0.15"/>
    <row r="7" spans="1:9" ht="12.75" customHeight="1" x14ac:dyDescent="0.15"/>
    <row r="8" spans="1:9" ht="12.75" customHeight="1" x14ac:dyDescent="0.15"/>
    <row r="9" spans="1:9" ht="12.75" customHeight="1" x14ac:dyDescent="0.15"/>
    <row r="10" spans="1:9" ht="12.75" customHeight="1" x14ac:dyDescent="0.15"/>
    <row r="11" spans="1:9" ht="12.75" customHeight="1" x14ac:dyDescent="0.15"/>
    <row r="12" spans="1:9" ht="12.75" customHeight="1" x14ac:dyDescent="0.15"/>
    <row r="13" spans="1:9" ht="12.75" customHeight="1" x14ac:dyDescent="0.15"/>
    <row r="14" spans="1:9" ht="12.75" customHeight="1" x14ac:dyDescent="0.15"/>
    <row r="15" spans="1:9" ht="12.75" customHeight="1" x14ac:dyDescent="0.15"/>
    <row r="16" spans="1:9" ht="12.75" customHeight="1" x14ac:dyDescent="0.15"/>
    <row r="17" ht="12.75" customHeight="1" x14ac:dyDescent="0.15"/>
    <row r="18" ht="12.75" customHeight="1" x14ac:dyDescent="0.15"/>
    <row r="19" ht="12.75" customHeight="1" x14ac:dyDescent="0.15"/>
    <row r="20" ht="12.75" customHeight="1" x14ac:dyDescent="0.15"/>
    <row r="21" ht="12.75" customHeight="1" x14ac:dyDescent="0.15"/>
    <row r="22" ht="12.75" customHeight="1" x14ac:dyDescent="0.15"/>
    <row r="23" ht="12.75" customHeight="1" x14ac:dyDescent="0.15"/>
    <row r="24" ht="12.75" customHeight="1" x14ac:dyDescent="0.15"/>
    <row r="25" ht="12.75" customHeight="1" x14ac:dyDescent="0.15"/>
    <row r="26" ht="12.75" customHeight="1" x14ac:dyDescent="0.15"/>
    <row r="27" ht="12.75" customHeight="1" x14ac:dyDescent="0.15"/>
    <row r="28" ht="12.75" customHeight="1" x14ac:dyDescent="0.15"/>
    <row r="29" ht="12.75" customHeight="1" x14ac:dyDescent="0.15"/>
    <row r="30" ht="12.75" customHeight="1" x14ac:dyDescent="0.15"/>
    <row r="31" ht="12.75" customHeight="1" x14ac:dyDescent="0.15"/>
    <row r="32"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97"/>
  <sheetViews>
    <sheetView zoomScale="200" zoomScaleNormal="200" workbookViewId="0">
      <selection activeCell="B2" sqref="B2:B5"/>
    </sheetView>
  </sheetViews>
  <sheetFormatPr baseColWidth="10" defaultColWidth="12.5" defaultRowHeight="15" customHeight="1" x14ac:dyDescent="0.15"/>
  <cols>
    <col min="1" max="1" width="14.5" customWidth="1"/>
    <col min="2" max="2" width="11.1640625" customWidth="1"/>
    <col min="3" max="3" width="10.1640625" customWidth="1"/>
    <col min="4" max="4" width="12.5" customWidth="1"/>
    <col min="5" max="26" width="10.5" customWidth="1"/>
  </cols>
  <sheetData>
    <row r="1" spans="1:4" s="2" customFormat="1" ht="16" x14ac:dyDescent="0.2">
      <c r="A1" s="2" t="s">
        <v>36</v>
      </c>
      <c r="B1" s="2" t="s">
        <v>37</v>
      </c>
      <c r="C1" s="2" t="s">
        <v>38</v>
      </c>
      <c r="D1" s="2" t="s">
        <v>39</v>
      </c>
    </row>
    <row r="2" spans="1:4" ht="12.75" customHeight="1" x14ac:dyDescent="0.15">
      <c r="A2" s="3" t="s">
        <v>40</v>
      </c>
      <c r="B2" s="3">
        <v>2017</v>
      </c>
      <c r="C2" s="3">
        <v>2017</v>
      </c>
      <c r="D2" s="3" t="s">
        <v>41</v>
      </c>
    </row>
    <row r="3" spans="1:4" ht="12.75" customHeight="1" x14ac:dyDescent="0.15">
      <c r="A3" s="3" t="s">
        <v>42</v>
      </c>
      <c r="B3" s="3">
        <v>2018</v>
      </c>
      <c r="C3" s="3">
        <v>2018</v>
      </c>
      <c r="D3" s="3" t="s">
        <v>41</v>
      </c>
    </row>
    <row r="4" spans="1:4" ht="12.75" customHeight="1" x14ac:dyDescent="0.15">
      <c r="A4" t="s">
        <v>43</v>
      </c>
      <c r="B4" s="3">
        <v>2019</v>
      </c>
      <c r="C4" s="3">
        <v>2019</v>
      </c>
      <c r="D4" s="3" t="s">
        <v>41</v>
      </c>
    </row>
    <row r="5" spans="1:4" ht="12.75" customHeight="1" x14ac:dyDescent="0.15">
      <c r="A5" t="s">
        <v>44</v>
      </c>
      <c r="B5" s="3">
        <v>2020</v>
      </c>
      <c r="C5" s="3">
        <v>2020</v>
      </c>
      <c r="D5" s="3" t="s">
        <v>41</v>
      </c>
    </row>
    <row r="6" spans="1:4" ht="12.75" customHeight="1" x14ac:dyDescent="0.15">
      <c r="A6" s="3" t="s">
        <v>45</v>
      </c>
      <c r="B6" s="3">
        <v>2021</v>
      </c>
      <c r="C6" s="3">
        <v>2021</v>
      </c>
      <c r="D6" s="3" t="s">
        <v>41</v>
      </c>
    </row>
    <row r="7" spans="1:4" ht="12.75" customHeight="1" x14ac:dyDescent="0.15">
      <c r="A7" t="s">
        <v>46</v>
      </c>
      <c r="B7" s="3">
        <v>2022</v>
      </c>
      <c r="C7" s="3">
        <v>2022</v>
      </c>
      <c r="D7" s="3" t="s">
        <v>117</v>
      </c>
    </row>
    <row r="8" spans="1:4" ht="12.75" customHeight="1" x14ac:dyDescent="0.15">
      <c r="A8" t="s">
        <v>47</v>
      </c>
      <c r="B8">
        <v>2023</v>
      </c>
      <c r="C8">
        <v>2023</v>
      </c>
      <c r="D8" s="3" t="s">
        <v>48</v>
      </c>
    </row>
    <row r="9" spans="1:4" ht="12.75" customHeight="1" x14ac:dyDescent="0.15">
      <c r="A9" s="3" t="s">
        <v>49</v>
      </c>
      <c r="B9">
        <v>2024</v>
      </c>
      <c r="C9">
        <v>2024</v>
      </c>
      <c r="D9" s="3" t="s">
        <v>48</v>
      </c>
    </row>
    <row r="10" spans="1:4" ht="12.75" customHeight="1" x14ac:dyDescent="0.15"/>
    <row r="11" spans="1:4" ht="12.75" customHeight="1" x14ac:dyDescent="0.15"/>
    <row r="12" spans="1:4" ht="12.75" customHeight="1" x14ac:dyDescent="0.15"/>
    <row r="13" spans="1:4" ht="12.75" customHeight="1" x14ac:dyDescent="0.15"/>
    <row r="14" spans="1:4" ht="12.75" customHeight="1" x14ac:dyDescent="0.15"/>
    <row r="15" spans="1:4" ht="12.75" customHeight="1" x14ac:dyDescent="0.15"/>
    <row r="16" spans="1:4" ht="12.75" customHeight="1" x14ac:dyDescent="0.15"/>
    <row r="17" ht="12.75" customHeight="1" x14ac:dyDescent="0.15"/>
    <row r="18" ht="12.75" customHeight="1" x14ac:dyDescent="0.15"/>
    <row r="19" ht="12.75" customHeight="1" x14ac:dyDescent="0.15"/>
    <row r="20" ht="12.75" customHeight="1" x14ac:dyDescent="0.15"/>
    <row r="21" ht="12.75" customHeight="1" x14ac:dyDescent="0.15"/>
    <row r="22" ht="12.75" customHeight="1" x14ac:dyDescent="0.15"/>
    <row r="23" ht="12.75" customHeight="1" x14ac:dyDescent="0.15"/>
    <row r="24" ht="12.75" customHeight="1" x14ac:dyDescent="0.15"/>
    <row r="25" ht="12.75" customHeight="1" x14ac:dyDescent="0.15"/>
    <row r="26" ht="12.75" customHeight="1" x14ac:dyDescent="0.15"/>
    <row r="27" ht="12.75" customHeight="1" x14ac:dyDescent="0.15"/>
    <row r="28" ht="12.75" customHeight="1" x14ac:dyDescent="0.15"/>
    <row r="29" ht="12.75" customHeight="1" x14ac:dyDescent="0.15"/>
    <row r="30" ht="12.75" customHeight="1" x14ac:dyDescent="0.15"/>
    <row r="31" ht="12.75" customHeight="1" x14ac:dyDescent="0.15"/>
    <row r="32"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sheetData>
  <phoneticPr fontId="10" type="noConversion"/>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74"/>
  <sheetViews>
    <sheetView zoomScaleNormal="100" workbookViewId="0">
      <selection activeCell="D16" sqref="D16"/>
    </sheetView>
  </sheetViews>
  <sheetFormatPr baseColWidth="10" defaultColWidth="12.5" defaultRowHeight="15" customHeight="1" x14ac:dyDescent="0.15"/>
  <cols>
    <col min="1" max="1" width="12.1640625" bestFit="1" customWidth="1"/>
    <col min="2" max="2" width="15.83203125" bestFit="1" customWidth="1"/>
    <col min="3" max="3" width="11.5" bestFit="1" customWidth="1"/>
    <col min="4" max="4" width="15.5" bestFit="1" customWidth="1"/>
    <col min="5" max="5" width="14.83203125" bestFit="1" customWidth="1"/>
    <col min="6" max="6" width="12.5" bestFit="1" customWidth="1"/>
    <col min="7" max="7" width="13.5" bestFit="1" customWidth="1"/>
    <col min="8" max="10" width="15.83203125" customWidth="1"/>
    <col min="11" max="11" width="16.83203125" bestFit="1" customWidth="1"/>
    <col min="12" max="12" width="25.1640625" bestFit="1" customWidth="1"/>
    <col min="13" max="13" width="36.33203125" bestFit="1" customWidth="1"/>
  </cols>
  <sheetData>
    <row r="1" spans="1:13" s="1" customFormat="1" ht="15" customHeight="1" x14ac:dyDescent="0.2">
      <c r="A1" s="16" t="s">
        <v>50</v>
      </c>
      <c r="B1" s="16" t="s">
        <v>51</v>
      </c>
      <c r="C1" s="16" t="s">
        <v>58</v>
      </c>
      <c r="D1" s="16" t="s">
        <v>59</v>
      </c>
      <c r="E1" s="16" t="s">
        <v>52</v>
      </c>
      <c r="F1" s="16" t="s">
        <v>53</v>
      </c>
      <c r="G1" s="16" t="s">
        <v>54</v>
      </c>
      <c r="H1" s="16" t="s">
        <v>55</v>
      </c>
      <c r="I1" s="16" t="s">
        <v>56</v>
      </c>
      <c r="J1" s="16" t="s">
        <v>57</v>
      </c>
      <c r="K1" s="16" t="s">
        <v>60</v>
      </c>
      <c r="L1" s="16" t="s">
        <v>129</v>
      </c>
      <c r="M1" s="16" t="s">
        <v>130</v>
      </c>
    </row>
    <row r="2" spans="1:13" ht="15" customHeight="1" x14ac:dyDescent="0.15">
      <c r="A2" s="17">
        <v>1</v>
      </c>
      <c r="B2" s="17" t="s">
        <v>40</v>
      </c>
      <c r="C2" s="7" t="s">
        <v>61</v>
      </c>
      <c r="D2" s="7" t="s">
        <v>65</v>
      </c>
      <c r="E2" s="18">
        <v>1109.0411150568182</v>
      </c>
      <c r="F2" s="19">
        <v>1109.0370699368061</v>
      </c>
      <c r="G2" s="17" t="s">
        <v>34</v>
      </c>
      <c r="H2" s="7"/>
      <c r="I2" s="7"/>
      <c r="J2" s="7"/>
      <c r="K2" s="17" t="s">
        <v>71</v>
      </c>
      <c r="L2" s="17" t="str">
        <f>VLOOKUP(C2,'LU CLASS'!$B$2:$E$25,4,FALSE)</f>
        <v>10-Tropical High Forest</v>
      </c>
      <c r="M2" s="17" t="str">
        <f>VLOOKUP(D2,'LU CLASS'!$B$2:$E$25,4,FALSE)</f>
        <v>51-Plantations commercial</v>
      </c>
    </row>
    <row r="3" spans="1:13" ht="15" customHeight="1" x14ac:dyDescent="0.15">
      <c r="A3" s="17">
        <v>2</v>
      </c>
      <c r="B3" s="17" t="s">
        <v>40</v>
      </c>
      <c r="C3" s="7" t="s">
        <v>61</v>
      </c>
      <c r="D3" s="7" t="s">
        <v>66</v>
      </c>
      <c r="E3" s="18">
        <v>3327.1233451704543</v>
      </c>
      <c r="F3" s="19">
        <v>1919.6117016602238</v>
      </c>
      <c r="G3" s="17" t="s">
        <v>34</v>
      </c>
      <c r="H3" s="7"/>
      <c r="I3" s="7"/>
      <c r="J3" s="7"/>
      <c r="K3" s="17" t="s">
        <v>63</v>
      </c>
      <c r="L3" s="17" t="str">
        <f>VLOOKUP(C3,'LU CLASS'!$B$2:$E$25,4,FALSE)</f>
        <v>10-Tropical High Forest</v>
      </c>
      <c r="M3" s="17" t="str">
        <f>VLOOKUP(D3,'LU CLASS'!$B$2:$E$25,4,FALSE)</f>
        <v>72-Cropland_annual</v>
      </c>
    </row>
    <row r="4" spans="1:13" ht="15" customHeight="1" x14ac:dyDescent="0.15">
      <c r="A4" s="17">
        <v>3</v>
      </c>
      <c r="B4" s="17" t="s">
        <v>40</v>
      </c>
      <c r="C4" s="7" t="s">
        <v>61</v>
      </c>
      <c r="D4" s="7" t="s">
        <v>62</v>
      </c>
      <c r="E4" s="20">
        <v>2218.0822301136363</v>
      </c>
      <c r="F4" s="21">
        <v>1567.8885166231225</v>
      </c>
      <c r="G4" s="17" t="s">
        <v>34</v>
      </c>
      <c r="H4" s="17"/>
      <c r="I4" s="17"/>
      <c r="J4" s="17"/>
      <c r="K4" s="17" t="s">
        <v>63</v>
      </c>
      <c r="L4" s="17" t="str">
        <f>VLOOKUP(C4,'LU CLASS'!$B$2:$E$25,4,FALSE)</f>
        <v>10-Tropical High Forest</v>
      </c>
      <c r="M4" s="17" t="str">
        <f>VLOOKUP(D4,'LU CLASS'!$B$2:$E$25,4,FALSE)</f>
        <v>80-Grassland</v>
      </c>
    </row>
    <row r="5" spans="1:13" ht="15" customHeight="1" x14ac:dyDescent="0.15">
      <c r="A5" s="17">
        <v>4</v>
      </c>
      <c r="B5" s="17" t="s">
        <v>40</v>
      </c>
      <c r="C5" s="7" t="s">
        <v>64</v>
      </c>
      <c r="D5" s="7" t="s">
        <v>66</v>
      </c>
      <c r="E5" s="18">
        <v>13699.848917843166</v>
      </c>
      <c r="F5" s="19">
        <v>4809.503886341101</v>
      </c>
      <c r="G5" s="17" t="s">
        <v>34</v>
      </c>
      <c r="H5" s="7"/>
      <c r="I5" s="7"/>
      <c r="J5" s="7"/>
      <c r="K5" s="17" t="s">
        <v>63</v>
      </c>
      <c r="L5" s="17" t="str">
        <f>VLOOKUP(C5,'LU CLASS'!$B$2:$E$25,4,FALSE)</f>
        <v>30-Woodlands</v>
      </c>
      <c r="M5" s="17" t="str">
        <f>VLOOKUP(D5,'LU CLASS'!$B$2:$E$25,4,FALSE)</f>
        <v>72-Cropland_annual</v>
      </c>
    </row>
    <row r="6" spans="1:13" ht="15" customHeight="1" x14ac:dyDescent="0.15">
      <c r="A6" s="17">
        <v>5</v>
      </c>
      <c r="B6" s="17" t="s">
        <v>40</v>
      </c>
      <c r="C6" s="7" t="s">
        <v>64</v>
      </c>
      <c r="D6" s="7" t="s">
        <v>62</v>
      </c>
      <c r="E6" s="20">
        <v>17528.694652696522</v>
      </c>
      <c r="F6" s="21">
        <v>6274.0776699341604</v>
      </c>
      <c r="G6" s="17" t="s">
        <v>34</v>
      </c>
      <c r="H6" s="17"/>
      <c r="I6" s="17"/>
      <c r="J6" s="17"/>
      <c r="K6" s="17" t="s">
        <v>63</v>
      </c>
      <c r="L6" s="17" t="str">
        <f>VLOOKUP(C6,'LU CLASS'!$B$2:$E$25,4,FALSE)</f>
        <v>30-Woodlands</v>
      </c>
      <c r="M6" s="17" t="str">
        <f>VLOOKUP(D6,'LU CLASS'!$B$2:$E$25,4,FALSE)</f>
        <v>80-Grassland</v>
      </c>
    </row>
    <row r="7" spans="1:13" ht="15" customHeight="1" x14ac:dyDescent="0.15">
      <c r="A7" s="17">
        <v>6</v>
      </c>
      <c r="B7" s="17" t="s">
        <v>40</v>
      </c>
      <c r="C7" s="7" t="s">
        <v>78</v>
      </c>
      <c r="D7" s="7" t="s">
        <v>79</v>
      </c>
      <c r="E7" s="18">
        <v>2572.3857580398162</v>
      </c>
      <c r="F7" s="19">
        <v>2572.3763755120031</v>
      </c>
      <c r="G7" s="17" t="s">
        <v>34</v>
      </c>
      <c r="H7" s="7"/>
      <c r="I7" s="7"/>
      <c r="J7" s="7"/>
      <c r="K7" s="17" t="s">
        <v>71</v>
      </c>
      <c r="L7" s="17" t="str">
        <f>VLOOKUP(C7,'LU CLASS'!$B$2:$E$25,4,FALSE)</f>
        <v>31-Woodlands</v>
      </c>
      <c r="M7" s="17" t="str">
        <f>VLOOKUP(D7,'LU CLASS'!$B$2:$E$25,4,FALSE)</f>
        <v>41-Woodlands_Degraded_by_fire</v>
      </c>
    </row>
    <row r="8" spans="1:13" ht="15" customHeight="1" x14ac:dyDescent="0.15">
      <c r="A8" s="17">
        <v>7</v>
      </c>
      <c r="B8" s="17" t="s">
        <v>40</v>
      </c>
      <c r="C8" s="7" t="s">
        <v>76</v>
      </c>
      <c r="D8" s="7" t="s">
        <v>77</v>
      </c>
      <c r="E8" s="18">
        <v>2572.3857580398162</v>
      </c>
      <c r="F8" s="19">
        <v>2572.3763755120031</v>
      </c>
      <c r="G8" s="17" t="s">
        <v>34</v>
      </c>
      <c r="H8" s="7"/>
      <c r="I8" s="7"/>
      <c r="J8" s="7"/>
      <c r="K8" s="17" t="s">
        <v>71</v>
      </c>
      <c r="L8" s="17" t="str">
        <f>VLOOKUP(C8,'LU CLASS'!$B$2:$E$25,4,FALSE)</f>
        <v>34-Woodlands</v>
      </c>
      <c r="M8" s="17" t="str">
        <f>VLOOKUP(D8,'LU CLASS'!$B$2:$E$25,4,FALSE)</f>
        <v>44-Woodlands_Degraded_by_other</v>
      </c>
    </row>
    <row r="9" spans="1:13" ht="15" customHeight="1" x14ac:dyDescent="0.15">
      <c r="A9" s="22">
        <v>8</v>
      </c>
      <c r="B9" s="22" t="s">
        <v>42</v>
      </c>
      <c r="C9" s="23" t="s">
        <v>61</v>
      </c>
      <c r="D9" s="23" t="s">
        <v>68</v>
      </c>
      <c r="E9" s="24">
        <v>1847.9485302390999</v>
      </c>
      <c r="F9" s="25">
        <v>1847.9417900258838</v>
      </c>
      <c r="G9" s="22" t="s">
        <v>34</v>
      </c>
      <c r="H9" s="23"/>
      <c r="I9" s="23"/>
      <c r="J9" s="23"/>
      <c r="K9" s="22" t="s">
        <v>63</v>
      </c>
      <c r="L9" s="22" t="str">
        <f>VLOOKUP(C9,'LU CLASS'!$B$2:$E$25,4,FALSE)</f>
        <v>10-Tropical High Forest</v>
      </c>
      <c r="M9" s="22" t="str">
        <f>VLOOKUP(D9,'LU CLASS'!$B$2:$E$25,4,FALSE)</f>
        <v>71-Cropland_perennial</v>
      </c>
    </row>
    <row r="10" spans="1:13" ht="15" customHeight="1" x14ac:dyDescent="0.15">
      <c r="A10" s="22">
        <v>9</v>
      </c>
      <c r="B10" s="22" t="s">
        <v>42</v>
      </c>
      <c r="C10" s="23" t="s">
        <v>61</v>
      </c>
      <c r="D10" s="23" t="s">
        <v>66</v>
      </c>
      <c r="E10" s="24">
        <v>2218.0822301136363</v>
      </c>
      <c r="F10" s="25">
        <v>1567.8885166231225</v>
      </c>
      <c r="G10" s="22" t="s">
        <v>34</v>
      </c>
      <c r="H10" s="23"/>
      <c r="I10" s="23"/>
      <c r="J10" s="23"/>
      <c r="K10" s="22" t="s">
        <v>63</v>
      </c>
      <c r="L10" s="22" t="str">
        <f>VLOOKUP(C10,'LU CLASS'!$B$2:$E$25,4,FALSE)</f>
        <v>10-Tropical High Forest</v>
      </c>
      <c r="M10" s="22" t="str">
        <f>VLOOKUP(D10,'LU CLASS'!$B$2:$E$25,4,FALSE)</f>
        <v>72-Cropland_annual</v>
      </c>
    </row>
    <row r="11" spans="1:13" ht="15" customHeight="1" x14ac:dyDescent="0.15">
      <c r="A11" s="22">
        <v>10</v>
      </c>
      <c r="B11" s="22" t="s">
        <v>42</v>
      </c>
      <c r="C11" s="23" t="s">
        <v>61</v>
      </c>
      <c r="D11" s="23" t="s">
        <v>62</v>
      </c>
      <c r="E11" s="26">
        <v>2218.0822301136363</v>
      </c>
      <c r="F11" s="27">
        <v>1567.8885166231225</v>
      </c>
      <c r="G11" s="22" t="s">
        <v>34</v>
      </c>
      <c r="H11" s="22"/>
      <c r="I11" s="22"/>
      <c r="J11" s="22"/>
      <c r="K11" s="22" t="s">
        <v>63</v>
      </c>
      <c r="L11" s="22" t="str">
        <f>VLOOKUP(C11,'LU CLASS'!$B$2:$E$25,4,FALSE)</f>
        <v>10-Tropical High Forest</v>
      </c>
      <c r="M11" s="22" t="str">
        <f>VLOOKUP(D11,'LU CLASS'!$B$2:$E$25,4,FALSE)</f>
        <v>80-Grassland</v>
      </c>
    </row>
    <row r="12" spans="1:13" ht="15" customHeight="1" x14ac:dyDescent="0.15">
      <c r="A12" s="22">
        <v>11</v>
      </c>
      <c r="B12" s="22" t="s">
        <v>42</v>
      </c>
      <c r="C12" s="23" t="s">
        <v>69</v>
      </c>
      <c r="D12" s="23" t="s">
        <v>70</v>
      </c>
      <c r="E12" s="24">
        <v>3327.1233451704543</v>
      </c>
      <c r="F12" s="25">
        <v>1919.6117016602238</v>
      </c>
      <c r="G12" s="22" t="s">
        <v>34</v>
      </c>
      <c r="H12" s="23"/>
      <c r="I12" s="23"/>
      <c r="J12" s="23"/>
      <c r="K12" s="22" t="s">
        <v>71</v>
      </c>
      <c r="L12" s="22" t="str">
        <f>VLOOKUP(C12,'LU CLASS'!$B$2:$E$25,4,FALSE)</f>
        <v>12-Tropical High Forest</v>
      </c>
      <c r="M12" s="22" t="str">
        <f>VLOOKUP(D12,'LU CLASS'!$B$2:$E$25,4,FALSE)</f>
        <v>22-Tropical High Forest Degraded by logging</v>
      </c>
    </row>
    <row r="13" spans="1:13" ht="15" customHeight="1" x14ac:dyDescent="0.15">
      <c r="A13" s="22">
        <v>12</v>
      </c>
      <c r="B13" s="22" t="s">
        <v>42</v>
      </c>
      <c r="C13" s="23" t="s">
        <v>64</v>
      </c>
      <c r="D13" s="23" t="s">
        <v>68</v>
      </c>
      <c r="E13" s="24">
        <v>2218.0822301136363</v>
      </c>
      <c r="F13" s="25">
        <v>1567.8885166231225</v>
      </c>
      <c r="G13" s="22" t="s">
        <v>34</v>
      </c>
      <c r="H13" s="23"/>
      <c r="I13" s="23"/>
      <c r="J13" s="23"/>
      <c r="K13" s="22" t="s">
        <v>63</v>
      </c>
      <c r="L13" s="22" t="str">
        <f>VLOOKUP(C13,'LU CLASS'!$B$2:$E$25,4,FALSE)</f>
        <v>30-Woodlands</v>
      </c>
      <c r="M13" s="22" t="str">
        <f>VLOOKUP(D13,'LU CLASS'!$B$2:$E$25,4,FALSE)</f>
        <v>71-Cropland_perennial</v>
      </c>
    </row>
    <row r="14" spans="1:13" ht="15" customHeight="1" x14ac:dyDescent="0.15">
      <c r="A14" s="22">
        <v>13</v>
      </c>
      <c r="B14" s="22" t="s">
        <v>42</v>
      </c>
      <c r="C14" s="23" t="s">
        <v>64</v>
      </c>
      <c r="D14" s="23" t="s">
        <v>66</v>
      </c>
      <c r="E14" s="24">
        <v>27438.10982948829</v>
      </c>
      <c r="F14" s="25">
        <v>6806.9615681731084</v>
      </c>
      <c r="G14" s="22" t="s">
        <v>34</v>
      </c>
      <c r="H14" s="23"/>
      <c r="I14" s="23"/>
      <c r="J14" s="23"/>
      <c r="K14" s="22" t="s">
        <v>63</v>
      </c>
      <c r="L14" s="22" t="str">
        <f>VLOOKUP(C14,'LU CLASS'!$B$2:$E$25,4,FALSE)</f>
        <v>30-Woodlands</v>
      </c>
      <c r="M14" s="22" t="str">
        <f>VLOOKUP(D14,'LU CLASS'!$B$2:$E$25,4,FALSE)</f>
        <v>72-Cropland_annual</v>
      </c>
    </row>
    <row r="15" spans="1:13" ht="15" customHeight="1" x14ac:dyDescent="0.15">
      <c r="A15" s="22">
        <v>14</v>
      </c>
      <c r="B15" s="22" t="s">
        <v>42</v>
      </c>
      <c r="C15" s="23" t="s">
        <v>64</v>
      </c>
      <c r="D15" s="23" t="s">
        <v>62</v>
      </c>
      <c r="E15" s="26">
        <v>31549.304233548231</v>
      </c>
      <c r="F15" s="27">
        <v>7918.9423734819602</v>
      </c>
      <c r="G15" s="22" t="s">
        <v>34</v>
      </c>
      <c r="H15" s="22"/>
      <c r="I15" s="22"/>
      <c r="J15" s="22"/>
      <c r="K15" s="22" t="s">
        <v>63</v>
      </c>
      <c r="L15" s="22" t="str">
        <f>VLOOKUP(C15,'LU CLASS'!$B$2:$E$25,4,FALSE)</f>
        <v>30-Woodlands</v>
      </c>
      <c r="M15" s="22" t="str">
        <f>VLOOKUP(D15,'LU CLASS'!$B$2:$E$25,4,FALSE)</f>
        <v>80-Grassland</v>
      </c>
    </row>
    <row r="16" spans="1:13" ht="15" customHeight="1" x14ac:dyDescent="0.15">
      <c r="A16" s="22">
        <v>15</v>
      </c>
      <c r="B16" s="22" t="s">
        <v>42</v>
      </c>
      <c r="C16" s="23" t="s">
        <v>72</v>
      </c>
      <c r="D16" s="23" t="s">
        <v>73</v>
      </c>
      <c r="E16" s="24">
        <v>7415.7359273767925</v>
      </c>
      <c r="F16" s="25">
        <v>3849.857375583907</v>
      </c>
      <c r="G16" s="22" t="s">
        <v>34</v>
      </c>
      <c r="H16" s="23"/>
      <c r="I16" s="23"/>
      <c r="J16" s="23"/>
      <c r="K16" s="22" t="s">
        <v>71</v>
      </c>
      <c r="L16" s="22" t="str">
        <f>VLOOKUP(C16,'LU CLASS'!$B$2:$E$25,4,FALSE)</f>
        <v>32-Woodlands</v>
      </c>
      <c r="M16" s="22" t="str">
        <f>VLOOKUP(D16,'LU CLASS'!$B$2:$E$25,4,FALSE)</f>
        <v>42-Woodlands_Degraded_by_logging</v>
      </c>
    </row>
    <row r="17" spans="1:13" ht="15" customHeight="1" x14ac:dyDescent="0.15">
      <c r="A17" s="22">
        <v>16</v>
      </c>
      <c r="B17" s="22" t="s">
        <v>42</v>
      </c>
      <c r="C17" s="23" t="s">
        <v>65</v>
      </c>
      <c r="D17" s="23" t="s">
        <v>66</v>
      </c>
      <c r="E17" s="26">
        <v>1109.0411150568182</v>
      </c>
      <c r="F17" s="27">
        <v>1109.0370699368061</v>
      </c>
      <c r="G17" s="22" t="s">
        <v>34</v>
      </c>
      <c r="H17" s="22"/>
      <c r="I17" s="22"/>
      <c r="J17" s="22"/>
      <c r="K17" s="22" t="s">
        <v>63</v>
      </c>
      <c r="L17" s="22" t="str">
        <f>VLOOKUP(C17,'LU CLASS'!$B$2:$E$25,4,FALSE)</f>
        <v>51-Plantations commercial</v>
      </c>
      <c r="M17" s="22" t="str">
        <f>VLOOKUP(D17,'LU CLASS'!$B$2:$E$25,4,FALSE)</f>
        <v>72-Cropland_annual</v>
      </c>
    </row>
    <row r="18" spans="1:13" ht="15" customHeight="1" x14ac:dyDescent="0.15">
      <c r="A18" s="22">
        <v>17</v>
      </c>
      <c r="B18" s="22" t="s">
        <v>42</v>
      </c>
      <c r="C18" s="23" t="s">
        <v>67</v>
      </c>
      <c r="D18" s="23" t="s">
        <v>68</v>
      </c>
      <c r="E18" s="24">
        <v>1109.0411150568182</v>
      </c>
      <c r="F18" s="25">
        <v>1109.0370699368061</v>
      </c>
      <c r="G18" s="22" t="s">
        <v>34</v>
      </c>
      <c r="H18" s="23"/>
      <c r="I18" s="23"/>
      <c r="J18" s="23"/>
      <c r="K18" s="22" t="s">
        <v>63</v>
      </c>
      <c r="L18" s="22" t="str">
        <f>VLOOKUP(C18,'LU CLASS'!$B$2:$E$25,4,FALSE)</f>
        <v>52-Plantations non commercial</v>
      </c>
      <c r="M18" s="22" t="str">
        <f>VLOOKUP(D18,'LU CLASS'!$B$2:$E$25,4,FALSE)</f>
        <v>71-Cropland_perennial</v>
      </c>
    </row>
    <row r="19" spans="1:13" ht="15" customHeight="1" x14ac:dyDescent="0.15">
      <c r="A19" s="17">
        <v>18</v>
      </c>
      <c r="B19" s="17" t="s">
        <v>43</v>
      </c>
      <c r="C19" s="7" t="s">
        <v>61</v>
      </c>
      <c r="D19" s="7" t="s">
        <v>68</v>
      </c>
      <c r="E19" s="18">
        <v>1109.0411150568182</v>
      </c>
      <c r="F19" s="19">
        <v>1109.0370699368061</v>
      </c>
      <c r="G19" s="17" t="s">
        <v>34</v>
      </c>
      <c r="H19" s="7"/>
      <c r="I19" s="7"/>
      <c r="J19" s="7"/>
      <c r="K19" s="17" t="s">
        <v>63</v>
      </c>
      <c r="L19" s="17" t="str">
        <f>VLOOKUP(C19,'LU CLASS'!$B$2:$E$25,4,FALSE)</f>
        <v>10-Tropical High Forest</v>
      </c>
      <c r="M19" s="17" t="str">
        <f>VLOOKUP(D19,'LU CLASS'!$B$2:$E$25,4,FALSE)</f>
        <v>71-Cropland_perennial</v>
      </c>
    </row>
    <row r="20" spans="1:13" ht="15" customHeight="1" x14ac:dyDescent="0.15">
      <c r="A20" s="17">
        <v>19</v>
      </c>
      <c r="B20" s="17" t="s">
        <v>43</v>
      </c>
      <c r="C20" s="7" t="s">
        <v>64</v>
      </c>
      <c r="D20" s="7" t="s">
        <v>66</v>
      </c>
      <c r="E20" s="18">
        <v>9241.1026357622904</v>
      </c>
      <c r="F20" s="19">
        <v>3599.8036292855313</v>
      </c>
      <c r="G20" s="17" t="s">
        <v>34</v>
      </c>
      <c r="H20" s="7"/>
      <c r="I20" s="7"/>
      <c r="J20" s="7"/>
      <c r="K20" s="17" t="s">
        <v>63</v>
      </c>
      <c r="L20" s="17" t="str">
        <f>VLOOKUP(C20,'LU CLASS'!$B$2:$E$25,4,FALSE)</f>
        <v>30-Woodlands</v>
      </c>
      <c r="M20" s="17" t="str">
        <f>VLOOKUP(D20,'LU CLASS'!$B$2:$E$25,4,FALSE)</f>
        <v>72-Cropland_annual</v>
      </c>
    </row>
    <row r="21" spans="1:13" ht="15" customHeight="1" x14ac:dyDescent="0.15">
      <c r="A21" s="17">
        <v>20</v>
      </c>
      <c r="B21" s="17" t="s">
        <v>43</v>
      </c>
      <c r="C21" s="7" t="s">
        <v>64</v>
      </c>
      <c r="D21" s="7" t="s">
        <v>62</v>
      </c>
      <c r="E21" s="20">
        <v>16203.522322751101</v>
      </c>
      <c r="F21" s="21">
        <v>5976.0736393746247</v>
      </c>
      <c r="G21" s="17" t="s">
        <v>34</v>
      </c>
      <c r="H21" s="17"/>
      <c r="I21" s="17"/>
      <c r="J21" s="17"/>
      <c r="K21" s="17" t="s">
        <v>63</v>
      </c>
      <c r="L21" s="17" t="str">
        <f>VLOOKUP(C21,'LU CLASS'!$B$2:$E$25,4,FALSE)</f>
        <v>30-Woodlands</v>
      </c>
      <c r="M21" s="17" t="str">
        <f>VLOOKUP(D21,'LU CLASS'!$B$2:$E$25,4,FALSE)</f>
        <v>80-Grassland</v>
      </c>
    </row>
    <row r="22" spans="1:13" ht="15" customHeight="1" x14ac:dyDescent="0.15">
      <c r="A22" s="17">
        <v>21</v>
      </c>
      <c r="B22" s="17" t="s">
        <v>43</v>
      </c>
      <c r="C22" s="7" t="s">
        <v>72</v>
      </c>
      <c r="D22" s="7" t="s">
        <v>73</v>
      </c>
      <c r="E22" s="18">
        <v>1847.9485302390999</v>
      </c>
      <c r="F22" s="19">
        <v>1847.9417900258838</v>
      </c>
      <c r="G22" s="17" t="s">
        <v>34</v>
      </c>
      <c r="H22" s="7"/>
      <c r="I22" s="7"/>
      <c r="J22" s="7"/>
      <c r="K22" s="17" t="s">
        <v>71</v>
      </c>
      <c r="L22" s="17" t="str">
        <f>VLOOKUP(C22,'LU CLASS'!$B$2:$E$25,4,FALSE)</f>
        <v>32-Woodlands</v>
      </c>
      <c r="M22" s="17" t="str">
        <f>VLOOKUP(D22,'LU CLASS'!$B$2:$E$25,4,FALSE)</f>
        <v>42-Woodlands_Degraded_by_logging</v>
      </c>
    </row>
    <row r="23" spans="1:13" ht="15" customHeight="1" x14ac:dyDescent="0.15">
      <c r="A23" s="17">
        <v>22</v>
      </c>
      <c r="B23" s="17" t="s">
        <v>43</v>
      </c>
      <c r="C23" s="7" t="s">
        <v>74</v>
      </c>
      <c r="D23" s="7" t="s">
        <v>75</v>
      </c>
      <c r="E23" s="18">
        <v>2572.3857580398162</v>
      </c>
      <c r="F23" s="19">
        <v>2572.3763755120031</v>
      </c>
      <c r="G23" s="17" t="s">
        <v>34</v>
      </c>
      <c r="H23" s="7"/>
      <c r="I23" s="7"/>
      <c r="J23" s="7"/>
      <c r="K23" s="17" t="s">
        <v>71</v>
      </c>
      <c r="L23" s="17" t="str">
        <f>VLOOKUP(C23,'LU CLASS'!$B$2:$E$25,4,FALSE)</f>
        <v>33-Woodlands</v>
      </c>
      <c r="M23" s="17" t="str">
        <f>VLOOKUP(D23,'LU CLASS'!$B$2:$E$25,4,FALSE)</f>
        <v>43-Woodlands_Degraded_by_charcoal</v>
      </c>
    </row>
    <row r="24" spans="1:13" ht="15" customHeight="1" x14ac:dyDescent="0.15">
      <c r="A24" s="17">
        <v>23</v>
      </c>
      <c r="B24" s="17" t="s">
        <v>43</v>
      </c>
      <c r="C24" s="7" t="s">
        <v>76</v>
      </c>
      <c r="D24" s="7" t="s">
        <v>77</v>
      </c>
      <c r="E24" s="18">
        <v>1847.9485302390999</v>
      </c>
      <c r="F24" s="19">
        <v>1847.9417900258838</v>
      </c>
      <c r="G24" s="17" t="s">
        <v>34</v>
      </c>
      <c r="H24" s="7"/>
      <c r="I24" s="7"/>
      <c r="J24" s="7"/>
      <c r="K24" s="17" t="s">
        <v>71</v>
      </c>
      <c r="L24" s="17" t="str">
        <f>VLOOKUP(C24,'LU CLASS'!$B$2:$E$25,4,FALSE)</f>
        <v>34-Woodlands</v>
      </c>
      <c r="M24" s="17" t="str">
        <f>VLOOKUP(D24,'LU CLASS'!$B$2:$E$25,4,FALSE)</f>
        <v>44-Woodlands_Degraded_by_other</v>
      </c>
    </row>
    <row r="25" spans="1:13" ht="15" customHeight="1" x14ac:dyDescent="0.15">
      <c r="A25" s="17">
        <v>24</v>
      </c>
      <c r="B25" s="17" t="s">
        <v>43</v>
      </c>
      <c r="C25" s="7" t="s">
        <v>65</v>
      </c>
      <c r="D25" s="7" t="s">
        <v>62</v>
      </c>
      <c r="E25" s="20">
        <v>2572.3857580398162</v>
      </c>
      <c r="F25" s="21">
        <v>2572.3763755120031</v>
      </c>
      <c r="G25" s="17" t="s">
        <v>34</v>
      </c>
      <c r="H25" s="17"/>
      <c r="I25" s="17"/>
      <c r="J25" s="17"/>
      <c r="K25" s="17" t="s">
        <v>63</v>
      </c>
      <c r="L25" s="17" t="str">
        <f>VLOOKUP(C25,'LU CLASS'!$B$2:$E$25,4,FALSE)</f>
        <v>51-Plantations commercial</v>
      </c>
      <c r="M25" s="17" t="str">
        <f>VLOOKUP(D25,'LU CLASS'!$B$2:$E$25,4,FALSE)</f>
        <v>80-Grassland</v>
      </c>
    </row>
    <row r="26" spans="1:13" ht="15" customHeight="1" x14ac:dyDescent="0.15">
      <c r="A26" s="17">
        <v>25</v>
      </c>
      <c r="B26" s="17" t="s">
        <v>43</v>
      </c>
      <c r="C26" s="7" t="s">
        <v>67</v>
      </c>
      <c r="D26" s="7" t="s">
        <v>66</v>
      </c>
      <c r="E26" s="18">
        <v>4804.9381755350178</v>
      </c>
      <c r="F26" s="19">
        <v>2838.26224656164</v>
      </c>
      <c r="G26" s="17" t="s">
        <v>34</v>
      </c>
      <c r="H26" s="7"/>
      <c r="I26" s="7"/>
      <c r="J26" s="7"/>
      <c r="K26" s="17" t="s">
        <v>63</v>
      </c>
      <c r="L26" s="17" t="str">
        <f>VLOOKUP(C26,'LU CLASS'!$B$2:$E$25,4,FALSE)</f>
        <v>52-Plantations non commercial</v>
      </c>
      <c r="M26" s="17" t="str">
        <f>VLOOKUP(D26,'LU CLASS'!$B$2:$E$25,4,FALSE)</f>
        <v>72-Cropland_annual</v>
      </c>
    </row>
    <row r="27" spans="1:13" ht="15" customHeight="1" x14ac:dyDescent="0.15">
      <c r="A27" s="22">
        <v>26</v>
      </c>
      <c r="B27" s="22" t="s">
        <v>44</v>
      </c>
      <c r="C27" s="23" t="s">
        <v>61</v>
      </c>
      <c r="D27" s="23" t="s">
        <v>65</v>
      </c>
      <c r="E27" s="24">
        <v>1847.9485302390999</v>
      </c>
      <c r="F27" s="25">
        <v>1847.9417900258838</v>
      </c>
      <c r="G27" s="22" t="s">
        <v>34</v>
      </c>
      <c r="H27" s="23"/>
      <c r="I27" s="23"/>
      <c r="J27" s="23"/>
      <c r="K27" s="22" t="s">
        <v>71</v>
      </c>
      <c r="L27" s="22" t="str">
        <f>VLOOKUP(C27,'LU CLASS'!$B$2:$E$25,4,FALSE)</f>
        <v>10-Tropical High Forest</v>
      </c>
      <c r="M27" s="22" t="str">
        <f>VLOOKUP(D27,'LU CLASS'!$B$2:$E$25,4,FALSE)</f>
        <v>51-Plantations commercial</v>
      </c>
    </row>
    <row r="28" spans="1:13" ht="15" customHeight="1" x14ac:dyDescent="0.15">
      <c r="A28" s="22">
        <v>27</v>
      </c>
      <c r="B28" s="22" t="s">
        <v>44</v>
      </c>
      <c r="C28" s="23" t="s">
        <v>61</v>
      </c>
      <c r="D28" s="23" t="s">
        <v>66</v>
      </c>
      <c r="E28" s="24">
        <v>1109.0411150568182</v>
      </c>
      <c r="F28" s="25">
        <v>1109.0370699368061</v>
      </c>
      <c r="G28" s="22" t="s">
        <v>34</v>
      </c>
      <c r="H28" s="23"/>
      <c r="I28" s="23"/>
      <c r="J28" s="23"/>
      <c r="K28" s="22" t="s">
        <v>63</v>
      </c>
      <c r="L28" s="22" t="str">
        <f>VLOOKUP(C28,'LU CLASS'!$B$2:$E$25,4,FALSE)</f>
        <v>10-Tropical High Forest</v>
      </c>
      <c r="M28" s="22" t="str">
        <f>VLOOKUP(D28,'LU CLASS'!$B$2:$E$25,4,FALSE)</f>
        <v>72-Cropland_annual</v>
      </c>
    </row>
    <row r="29" spans="1:13" ht="15" customHeight="1" x14ac:dyDescent="0.15">
      <c r="A29" s="22">
        <v>28</v>
      </c>
      <c r="B29" s="22" t="s">
        <v>44</v>
      </c>
      <c r="C29" s="23" t="s">
        <v>61</v>
      </c>
      <c r="D29" s="23" t="s">
        <v>62</v>
      </c>
      <c r="E29" s="26">
        <v>1109.0411150568182</v>
      </c>
      <c r="F29" s="27">
        <v>1109.0370699368061</v>
      </c>
      <c r="G29" s="22" t="s">
        <v>34</v>
      </c>
      <c r="H29" s="22"/>
      <c r="I29" s="22"/>
      <c r="J29" s="22"/>
      <c r="K29" s="22" t="s">
        <v>63</v>
      </c>
      <c r="L29" s="22" t="str">
        <f>VLOOKUP(C29,'LU CLASS'!$B$2:$E$25,4,FALSE)</f>
        <v>10-Tropical High Forest</v>
      </c>
      <c r="M29" s="22" t="str">
        <f>VLOOKUP(D29,'LU CLASS'!$B$2:$E$25,4,FALSE)</f>
        <v>80-Grassland</v>
      </c>
    </row>
    <row r="30" spans="1:13" ht="15" customHeight="1" x14ac:dyDescent="0.15">
      <c r="A30" s="22">
        <v>29</v>
      </c>
      <c r="B30" s="22" t="s">
        <v>44</v>
      </c>
      <c r="C30" s="23" t="s">
        <v>64</v>
      </c>
      <c r="D30" s="23" t="s">
        <v>68</v>
      </c>
      <c r="E30" s="24">
        <v>10128.788897268085</v>
      </c>
      <c r="F30" s="25">
        <v>4407.3924913735846</v>
      </c>
      <c r="G30" s="22" t="s">
        <v>34</v>
      </c>
      <c r="H30" s="23"/>
      <c r="I30" s="23"/>
      <c r="J30" s="23"/>
      <c r="K30" s="22" t="s">
        <v>63</v>
      </c>
      <c r="L30" s="22" t="str">
        <f>VLOOKUP(C30,'LU CLASS'!$B$2:$E$25,4,FALSE)</f>
        <v>30-Woodlands</v>
      </c>
      <c r="M30" s="22" t="str">
        <f>VLOOKUP(D30,'LU CLASS'!$B$2:$E$25,4,FALSE)</f>
        <v>71-Cropland_perennial</v>
      </c>
    </row>
    <row r="31" spans="1:13" ht="15" customHeight="1" x14ac:dyDescent="0.15">
      <c r="A31" s="22">
        <v>30</v>
      </c>
      <c r="B31" s="22" t="s">
        <v>44</v>
      </c>
      <c r="C31" s="23" t="s">
        <v>64</v>
      </c>
      <c r="D31" s="23" t="s">
        <v>66</v>
      </c>
      <c r="E31" s="24">
        <v>15565.155631273446</v>
      </c>
      <c r="F31" s="25">
        <v>6279.9733207515274</v>
      </c>
      <c r="G31" s="22" t="s">
        <v>34</v>
      </c>
      <c r="H31" s="23"/>
      <c r="I31" s="23"/>
      <c r="J31" s="23"/>
      <c r="K31" s="22" t="s">
        <v>63</v>
      </c>
      <c r="L31" s="22" t="str">
        <f>VLOOKUP(C31,'LU CLASS'!$B$2:$E$25,4,FALSE)</f>
        <v>30-Woodlands</v>
      </c>
      <c r="M31" s="22" t="str">
        <f>VLOOKUP(D31,'LU CLASS'!$B$2:$E$25,4,FALSE)</f>
        <v>72-Cropland_annual</v>
      </c>
    </row>
    <row r="32" spans="1:13" ht="15" customHeight="1" x14ac:dyDescent="0.15">
      <c r="A32" s="22">
        <v>31</v>
      </c>
      <c r="B32" s="22" t="s">
        <v>44</v>
      </c>
      <c r="C32" s="23" t="s">
        <v>64</v>
      </c>
      <c r="D32" s="23" t="s">
        <v>62</v>
      </c>
      <c r="E32" s="26">
        <v>20471.214110610876</v>
      </c>
      <c r="F32" s="27">
        <v>6708.8092852125292</v>
      </c>
      <c r="G32" s="22" t="s">
        <v>34</v>
      </c>
      <c r="H32" s="22"/>
      <c r="I32" s="22"/>
      <c r="J32" s="22"/>
      <c r="K32" s="22" t="s">
        <v>63</v>
      </c>
      <c r="L32" s="22" t="str">
        <f>VLOOKUP(C32,'LU CLASS'!$B$2:$E$25,4,FALSE)</f>
        <v>30-Woodlands</v>
      </c>
      <c r="M32" s="22" t="str">
        <f>VLOOKUP(D32,'LU CLASS'!$B$2:$E$25,4,FALSE)</f>
        <v>80-Grassland</v>
      </c>
    </row>
    <row r="33" spans="1:13" ht="15" customHeight="1" x14ac:dyDescent="0.15">
      <c r="A33" s="22">
        <v>32</v>
      </c>
      <c r="B33" s="22" t="s">
        <v>44</v>
      </c>
      <c r="C33" s="23" t="s">
        <v>78</v>
      </c>
      <c r="D33" s="23" t="s">
        <v>79</v>
      </c>
      <c r="E33" s="24">
        <v>2995.4016390978768</v>
      </c>
      <c r="F33" s="25">
        <v>2188.1829912498301</v>
      </c>
      <c r="G33" s="22" t="s">
        <v>34</v>
      </c>
      <c r="H33" s="23"/>
      <c r="I33" s="23"/>
      <c r="J33" s="23"/>
      <c r="K33" s="22" t="s">
        <v>71</v>
      </c>
      <c r="L33" s="22" t="str">
        <f>VLOOKUP(C33,'LU CLASS'!$B$2:$E$25,4,FALSE)</f>
        <v>31-Woodlands</v>
      </c>
      <c r="M33" s="22" t="str">
        <f>VLOOKUP(D33,'LU CLASS'!$B$2:$E$25,4,FALSE)</f>
        <v>41-Woodlands_Degraded_by_fire</v>
      </c>
    </row>
    <row r="34" spans="1:13" ht="15" customHeight="1" x14ac:dyDescent="0.15">
      <c r="A34" s="22">
        <v>33</v>
      </c>
      <c r="B34" s="22" t="s">
        <v>44</v>
      </c>
      <c r="C34" s="23" t="s">
        <v>72</v>
      </c>
      <c r="D34" s="23" t="s">
        <v>73</v>
      </c>
      <c r="E34" s="24">
        <v>2995.4016390978768</v>
      </c>
      <c r="F34" s="25">
        <v>2188.1829912498301</v>
      </c>
      <c r="G34" s="22" t="s">
        <v>34</v>
      </c>
      <c r="H34" s="23"/>
      <c r="I34" s="23"/>
      <c r="J34" s="23"/>
      <c r="K34" s="22" t="s">
        <v>71</v>
      </c>
      <c r="L34" s="22" t="str">
        <f>VLOOKUP(C34,'LU CLASS'!$B$2:$E$25,4,FALSE)</f>
        <v>32-Woodlands</v>
      </c>
      <c r="M34" s="22" t="str">
        <f>VLOOKUP(D34,'LU CLASS'!$B$2:$E$25,4,FALSE)</f>
        <v>42-Woodlands_Degraded_by_logging</v>
      </c>
    </row>
    <row r="35" spans="1:13" ht="15" customHeight="1" x14ac:dyDescent="0.15">
      <c r="A35" s="22">
        <v>34</v>
      </c>
      <c r="B35" s="22" t="s">
        <v>44</v>
      </c>
      <c r="C35" s="23" t="s">
        <v>65</v>
      </c>
      <c r="D35" s="23" t="s">
        <v>66</v>
      </c>
      <c r="E35" s="26">
        <v>1109.0411150568182</v>
      </c>
      <c r="F35" s="27">
        <v>1109.0370699368061</v>
      </c>
      <c r="G35" s="22" t="s">
        <v>34</v>
      </c>
      <c r="H35" s="22"/>
      <c r="I35" s="22"/>
      <c r="J35" s="22"/>
      <c r="K35" s="22" t="s">
        <v>63</v>
      </c>
      <c r="L35" s="22" t="str">
        <f>VLOOKUP(C35,'LU CLASS'!$B$2:$E$25,4,FALSE)</f>
        <v>51-Plantations commercial</v>
      </c>
      <c r="M35" s="22" t="str">
        <f>VLOOKUP(D35,'LU CLASS'!$B$2:$E$25,4,FALSE)</f>
        <v>72-Cropland_annual</v>
      </c>
    </row>
    <row r="36" spans="1:13" ht="15" customHeight="1" x14ac:dyDescent="0.15">
      <c r="A36" s="22">
        <v>35</v>
      </c>
      <c r="B36" s="22" t="s">
        <v>44</v>
      </c>
      <c r="C36" s="23" t="s">
        <v>67</v>
      </c>
      <c r="D36" s="23" t="s">
        <v>66</v>
      </c>
      <c r="E36" s="24">
        <v>4066.0307603527363</v>
      </c>
      <c r="F36" s="25">
        <v>2423.5432335966298</v>
      </c>
      <c r="G36" s="22" t="s">
        <v>34</v>
      </c>
      <c r="H36" s="23"/>
      <c r="I36" s="23"/>
      <c r="J36" s="23"/>
      <c r="K36" s="22" t="s">
        <v>63</v>
      </c>
      <c r="L36" s="22" t="str">
        <f>VLOOKUP(C36,'LU CLASS'!$B$2:$E$25,4,FALSE)</f>
        <v>52-Plantations non commercial</v>
      </c>
      <c r="M36" s="22" t="str">
        <f>VLOOKUP(D36,'LU CLASS'!$B$2:$E$25,4,FALSE)</f>
        <v>72-Cropland_annual</v>
      </c>
    </row>
    <row r="37" spans="1:13" ht="15" customHeight="1" x14ac:dyDescent="0.15">
      <c r="A37" s="17">
        <v>36</v>
      </c>
      <c r="B37" s="17" t="s">
        <v>45</v>
      </c>
      <c r="C37" s="7" t="s">
        <v>61</v>
      </c>
      <c r="D37" s="7" t="s">
        <v>68</v>
      </c>
      <c r="E37" s="18">
        <v>1109.0411150568182</v>
      </c>
      <c r="F37" s="19">
        <v>1109.0370699368061</v>
      </c>
      <c r="G37" s="17" t="s">
        <v>34</v>
      </c>
      <c r="H37" s="7"/>
      <c r="I37" s="7"/>
      <c r="J37" s="7"/>
      <c r="K37" s="17" t="s">
        <v>63</v>
      </c>
      <c r="L37" s="17" t="str">
        <f>VLOOKUP(C37,'LU CLASS'!$B$2:$E$25,4,FALSE)</f>
        <v>10-Tropical High Forest</v>
      </c>
      <c r="M37" s="17" t="str">
        <f>VLOOKUP(D37,'LU CLASS'!$B$2:$E$25,4,FALSE)</f>
        <v>71-Cropland_perennial</v>
      </c>
    </row>
    <row r="38" spans="1:13" ht="15" customHeight="1" x14ac:dyDescent="0.15">
      <c r="A38" s="17">
        <v>37</v>
      </c>
      <c r="B38" s="17" t="s">
        <v>45</v>
      </c>
      <c r="C38" s="7" t="s">
        <v>61</v>
      </c>
      <c r="D38" s="7" t="s">
        <v>66</v>
      </c>
      <c r="E38" s="18">
        <v>4804.9381755350178</v>
      </c>
      <c r="F38" s="19">
        <v>2838.26224656164</v>
      </c>
      <c r="G38" s="17" t="s">
        <v>34</v>
      </c>
      <c r="H38" s="7"/>
      <c r="I38" s="7"/>
      <c r="J38" s="7"/>
      <c r="K38" s="17" t="s">
        <v>63</v>
      </c>
      <c r="L38" s="17" t="str">
        <f>VLOOKUP(C38,'LU CLASS'!$B$2:$E$25,4,FALSE)</f>
        <v>10-Tropical High Forest</v>
      </c>
      <c r="M38" s="17" t="str">
        <f>VLOOKUP(D38,'LU CLASS'!$B$2:$E$25,4,FALSE)</f>
        <v>72-Cropland_annual</v>
      </c>
    </row>
    <row r="39" spans="1:13" ht="15" customHeight="1" x14ac:dyDescent="0.15">
      <c r="A39" s="17">
        <v>38</v>
      </c>
      <c r="B39" s="17" t="s">
        <v>45</v>
      </c>
      <c r="C39" s="7" t="s">
        <v>64</v>
      </c>
      <c r="D39" s="7" t="s">
        <v>66</v>
      </c>
      <c r="E39" s="18">
        <v>27452.580016869855</v>
      </c>
      <c r="F39" s="19">
        <v>6732.1157362376198</v>
      </c>
      <c r="G39" s="17" t="s">
        <v>34</v>
      </c>
      <c r="H39" s="7"/>
      <c r="I39" s="7"/>
      <c r="J39" s="7"/>
      <c r="K39" s="17" t="s">
        <v>63</v>
      </c>
      <c r="L39" s="17" t="str">
        <f>VLOOKUP(C39,'LU CLASS'!$B$2:$E$25,4,FALSE)</f>
        <v>30-Woodlands</v>
      </c>
      <c r="M39" s="17" t="str">
        <f>VLOOKUP(D39,'LU CLASS'!$B$2:$E$25,4,FALSE)</f>
        <v>72-Cropland_annual</v>
      </c>
    </row>
    <row r="40" spans="1:13" ht="15" customHeight="1" x14ac:dyDescent="0.15">
      <c r="A40" s="17">
        <v>39</v>
      </c>
      <c r="B40" s="17" t="s">
        <v>45</v>
      </c>
      <c r="C40" s="7" t="s">
        <v>64</v>
      </c>
      <c r="D40" s="7" t="s">
        <v>62</v>
      </c>
      <c r="E40" s="20">
        <v>16573.656022625637</v>
      </c>
      <c r="F40" s="21">
        <v>5894.9609538434879</v>
      </c>
      <c r="G40" s="17" t="s">
        <v>34</v>
      </c>
      <c r="H40" s="17"/>
      <c r="I40" s="17"/>
      <c r="J40" s="17"/>
      <c r="K40" s="17" t="s">
        <v>63</v>
      </c>
      <c r="L40" s="17" t="str">
        <f>VLOOKUP(C40,'LU CLASS'!$B$2:$E$25,4,FALSE)</f>
        <v>30-Woodlands</v>
      </c>
      <c r="M40" s="17" t="str">
        <f>VLOOKUP(D40,'LU CLASS'!$B$2:$E$25,4,FALSE)</f>
        <v>80-Grassland</v>
      </c>
    </row>
    <row r="41" spans="1:13" ht="15" customHeight="1" x14ac:dyDescent="0.15">
      <c r="A41" s="17">
        <v>40</v>
      </c>
      <c r="B41" s="17" t="s">
        <v>45</v>
      </c>
      <c r="C41" s="7" t="s">
        <v>72</v>
      </c>
      <c r="D41" s="7" t="s">
        <v>73</v>
      </c>
      <c r="E41" s="18">
        <v>6691.2986995760766</v>
      </c>
      <c r="F41" s="19">
        <v>3407.8720992536423</v>
      </c>
      <c r="G41" s="17" t="s">
        <v>34</v>
      </c>
      <c r="H41" s="7"/>
      <c r="I41" s="7"/>
      <c r="J41" s="7"/>
      <c r="K41" s="17" t="s">
        <v>71</v>
      </c>
      <c r="L41" s="17" t="str">
        <f>VLOOKUP(C41,'LU CLASS'!$B$2:$E$25,4,FALSE)</f>
        <v>32-Woodlands</v>
      </c>
      <c r="M41" s="17" t="str">
        <f>VLOOKUP(D41,'LU CLASS'!$B$2:$E$25,4,FALSE)</f>
        <v>42-Woodlands_Degraded_by_logging</v>
      </c>
    </row>
    <row r="42" spans="1:13" ht="15" customHeight="1" x14ac:dyDescent="0.15">
      <c r="A42" s="17">
        <v>41</v>
      </c>
      <c r="B42" s="17" t="s">
        <v>45</v>
      </c>
      <c r="C42" s="7" t="s">
        <v>76</v>
      </c>
      <c r="D42" s="7" t="s">
        <v>77</v>
      </c>
      <c r="E42" s="18">
        <v>5567.787397137693</v>
      </c>
      <c r="F42" s="19">
        <v>3377.2145906239803</v>
      </c>
      <c r="G42" s="17" t="s">
        <v>34</v>
      </c>
      <c r="H42" s="7"/>
      <c r="I42" s="7"/>
      <c r="J42" s="7"/>
      <c r="K42" s="17" t="s">
        <v>71</v>
      </c>
      <c r="L42" s="17" t="str">
        <f>VLOOKUP(C42,'LU CLASS'!$B$2:$E$25,4,FALSE)</f>
        <v>34-Woodlands</v>
      </c>
      <c r="M42" s="17" t="str">
        <f>VLOOKUP(D42,'LU CLASS'!$B$2:$E$25,4,FALSE)</f>
        <v>44-Woodlands_Degraded_by_other</v>
      </c>
    </row>
    <row r="43" spans="1:13" ht="15" customHeight="1" x14ac:dyDescent="0.15">
      <c r="A43" s="17">
        <v>42</v>
      </c>
      <c r="B43" s="17" t="s">
        <v>45</v>
      </c>
      <c r="C43" s="7" t="s">
        <v>65</v>
      </c>
      <c r="D43" s="7" t="s">
        <v>66</v>
      </c>
      <c r="E43" s="20">
        <v>1109.0411150568182</v>
      </c>
      <c r="F43" s="21">
        <v>1109.0370699368061</v>
      </c>
      <c r="G43" s="17" t="s">
        <v>34</v>
      </c>
      <c r="H43" s="17"/>
      <c r="I43" s="17"/>
      <c r="J43" s="17"/>
      <c r="K43" s="17" t="s">
        <v>63</v>
      </c>
      <c r="L43" s="17" t="str">
        <f>VLOOKUP(C43,'LU CLASS'!$B$2:$E$25,4,FALSE)</f>
        <v>51-Plantations commercial</v>
      </c>
      <c r="M43" s="17" t="str">
        <f>VLOOKUP(D43,'LU CLASS'!$B$2:$E$25,4,FALSE)</f>
        <v>72-Cropland_annual</v>
      </c>
    </row>
    <row r="44" spans="1:13" ht="15" customHeight="1" x14ac:dyDescent="0.15">
      <c r="A44" s="17">
        <v>43</v>
      </c>
      <c r="B44" s="17" t="s">
        <v>45</v>
      </c>
      <c r="C44" s="7" t="s">
        <v>65</v>
      </c>
      <c r="D44" s="7" t="s">
        <v>62</v>
      </c>
      <c r="E44" s="20">
        <v>1109.0411150568182</v>
      </c>
      <c r="F44" s="21">
        <v>1109.0370699368061</v>
      </c>
      <c r="G44" s="17" t="s">
        <v>34</v>
      </c>
      <c r="H44" s="17"/>
      <c r="I44" s="17"/>
      <c r="J44" s="17"/>
      <c r="K44" s="17" t="s">
        <v>63</v>
      </c>
      <c r="L44" s="17" t="str">
        <f>VLOOKUP(C44,'LU CLASS'!$B$2:$E$25,4,FALSE)</f>
        <v>51-Plantations commercial</v>
      </c>
      <c r="M44" s="17" t="str">
        <f>VLOOKUP(D44,'LU CLASS'!$B$2:$E$25,4,FALSE)</f>
        <v>80-Grassland</v>
      </c>
    </row>
    <row r="45" spans="1:13" ht="15" customHeight="1" x14ac:dyDescent="0.15">
      <c r="A45" s="17">
        <v>44</v>
      </c>
      <c r="B45" s="17" t="s">
        <v>45</v>
      </c>
      <c r="C45" s="7" t="s">
        <v>67</v>
      </c>
      <c r="D45" s="7" t="s">
        <v>66</v>
      </c>
      <c r="E45" s="18">
        <v>2218.0822301136363</v>
      </c>
      <c r="F45" s="19">
        <v>1567.8885166231225</v>
      </c>
      <c r="G45" s="17" t="s">
        <v>34</v>
      </c>
      <c r="H45" s="7"/>
      <c r="I45" s="7"/>
      <c r="J45" s="7"/>
      <c r="K45" s="17" t="s">
        <v>63</v>
      </c>
      <c r="L45" s="17" t="str">
        <f>VLOOKUP(C45,'LU CLASS'!$B$2:$E$25,4,FALSE)</f>
        <v>52-Plantations non commercial</v>
      </c>
      <c r="M45" s="17" t="str">
        <f>VLOOKUP(D45,'LU CLASS'!$B$2:$E$25,4,FALSE)</f>
        <v>72-Cropland_annual</v>
      </c>
    </row>
    <row r="46" spans="1:13" ht="15" customHeight="1" x14ac:dyDescent="0.15">
      <c r="A46" s="17">
        <v>45</v>
      </c>
      <c r="B46" s="17" t="s">
        <v>45</v>
      </c>
      <c r="C46" s="7" t="s">
        <v>67</v>
      </c>
      <c r="D46" s="7" t="s">
        <v>62</v>
      </c>
      <c r="E46" s="20">
        <v>1109.0411150568182</v>
      </c>
      <c r="F46" s="21">
        <v>1109.0370699368061</v>
      </c>
      <c r="G46" s="17" t="s">
        <v>34</v>
      </c>
      <c r="H46" s="17"/>
      <c r="I46" s="17"/>
      <c r="J46" s="17"/>
      <c r="K46" s="17" t="s">
        <v>63</v>
      </c>
      <c r="L46" s="17" t="str">
        <f>VLOOKUP(C46,'LU CLASS'!$B$2:$E$25,4,FALSE)</f>
        <v>52-Plantations non commercial</v>
      </c>
      <c r="M46" s="17" t="str">
        <f>VLOOKUP(D46,'LU CLASS'!$B$2:$E$25,4,FALSE)</f>
        <v>80-Grassland</v>
      </c>
    </row>
    <row r="47" spans="1:13" ht="15" customHeight="1" x14ac:dyDescent="0.15">
      <c r="A47" s="22">
        <v>46</v>
      </c>
      <c r="B47" s="23" t="s">
        <v>46</v>
      </c>
      <c r="C47" s="23" t="s">
        <v>61</v>
      </c>
      <c r="D47" s="23" t="s">
        <v>66</v>
      </c>
      <c r="E47" s="24">
        <v>2218.0822301136363</v>
      </c>
      <c r="F47" s="25">
        <v>1567.8989100889855</v>
      </c>
      <c r="G47" s="23" t="s">
        <v>34</v>
      </c>
      <c r="H47" s="23"/>
      <c r="I47" s="23"/>
      <c r="J47" s="23"/>
      <c r="K47" s="22" t="s">
        <v>63</v>
      </c>
      <c r="L47" s="22" t="str">
        <f>VLOOKUP(C47,'LU CLASS'!$B$2:$E$25,4,FALSE)</f>
        <v>10-Tropical High Forest</v>
      </c>
      <c r="M47" s="22" t="str">
        <f>VLOOKUP(D47,'LU CLASS'!$B$2:$E$25,4,FALSE)</f>
        <v>72-Cropland_annual</v>
      </c>
    </row>
    <row r="48" spans="1:13" ht="15" customHeight="1" x14ac:dyDescent="0.15">
      <c r="A48" s="22">
        <v>47</v>
      </c>
      <c r="B48" s="23" t="s">
        <v>46</v>
      </c>
      <c r="C48" s="23" t="s">
        <v>61</v>
      </c>
      <c r="D48" s="23" t="s">
        <v>62</v>
      </c>
      <c r="E48" s="24">
        <v>2218.0822301136363</v>
      </c>
      <c r="F48" s="25">
        <v>1567.8989100889855</v>
      </c>
      <c r="G48" s="23" t="s">
        <v>34</v>
      </c>
      <c r="H48" s="23"/>
      <c r="I48" s="23"/>
      <c r="J48" s="23"/>
      <c r="K48" s="22" t="s">
        <v>63</v>
      </c>
      <c r="L48" s="22" t="str">
        <f>VLOOKUP(C48,'LU CLASS'!$B$2:$E$25,4,FALSE)</f>
        <v>10-Tropical High Forest</v>
      </c>
      <c r="M48" s="22" t="str">
        <f>VLOOKUP(D48,'LU CLASS'!$B$2:$E$25,4,FALSE)</f>
        <v>80-Grassland</v>
      </c>
    </row>
    <row r="49" spans="1:13" ht="15" customHeight="1" x14ac:dyDescent="0.15">
      <c r="A49" s="22">
        <v>48</v>
      </c>
      <c r="B49" s="23" t="s">
        <v>46</v>
      </c>
      <c r="C49" s="23" t="s">
        <v>64</v>
      </c>
      <c r="D49" s="23" t="s">
        <v>66</v>
      </c>
      <c r="E49" s="24">
        <v>17510.981959727244</v>
      </c>
      <c r="F49" s="25">
        <v>5511.3933617013945</v>
      </c>
      <c r="G49" s="23" t="s">
        <v>34</v>
      </c>
      <c r="H49" s="23"/>
      <c r="I49" s="23"/>
      <c r="J49" s="23"/>
      <c r="K49" s="22" t="s">
        <v>63</v>
      </c>
      <c r="L49" s="22" t="str">
        <f>VLOOKUP(C49,'LU CLASS'!$B$2:$E$25,4,FALSE)</f>
        <v>30-Woodlands</v>
      </c>
      <c r="M49" s="22" t="str">
        <f>VLOOKUP(D49,'LU CLASS'!$B$2:$E$25,4,FALSE)</f>
        <v>72-Cropland_annual</v>
      </c>
    </row>
    <row r="50" spans="1:13" ht="15" customHeight="1" x14ac:dyDescent="0.15">
      <c r="A50" s="22">
        <v>49</v>
      </c>
      <c r="B50" s="23" t="s">
        <v>46</v>
      </c>
      <c r="C50" s="23" t="s">
        <v>64</v>
      </c>
      <c r="D50" s="23" t="s">
        <v>62</v>
      </c>
      <c r="E50" s="24">
        <v>10426.967738423</v>
      </c>
      <c r="F50" s="25">
        <v>3803.487763618738</v>
      </c>
      <c r="G50" s="23" t="s">
        <v>34</v>
      </c>
      <c r="H50" s="23"/>
      <c r="I50" s="23"/>
      <c r="J50" s="23"/>
      <c r="K50" s="22" t="s">
        <v>63</v>
      </c>
      <c r="L50" s="22" t="str">
        <f>VLOOKUP(C50,'LU CLASS'!$B$2:$E$25,4,FALSE)</f>
        <v>30-Woodlands</v>
      </c>
      <c r="M50" s="22" t="str">
        <f>VLOOKUP(D50,'LU CLASS'!$B$2:$E$25,4,FALSE)</f>
        <v>80-Grassland</v>
      </c>
    </row>
    <row r="51" spans="1:13" ht="15" customHeight="1" x14ac:dyDescent="0.15">
      <c r="A51" s="22">
        <v>50</v>
      </c>
      <c r="B51" s="23" t="s">
        <v>46</v>
      </c>
      <c r="C51" s="23" t="s">
        <v>78</v>
      </c>
      <c r="D51" s="23" t="s">
        <v>79</v>
      </c>
      <c r="E51" s="24">
        <v>1109</v>
      </c>
      <c r="F51" s="25">
        <v>1109.0723820441096</v>
      </c>
      <c r="G51" s="23" t="s">
        <v>34</v>
      </c>
      <c r="H51" s="23"/>
      <c r="I51" s="23"/>
      <c r="J51" s="23"/>
      <c r="K51" s="22" t="s">
        <v>71</v>
      </c>
      <c r="L51" s="22" t="str">
        <f>VLOOKUP(C51,'LU CLASS'!$B$2:$E$25,4,FALSE)</f>
        <v>31-Woodlands</v>
      </c>
      <c r="M51" s="22" t="str">
        <f>VLOOKUP(D51,'LU CLASS'!$B$2:$E$25,4,FALSE)</f>
        <v>41-Woodlands_Degraded_by_fire</v>
      </c>
    </row>
    <row r="52" spans="1:13" ht="15" customHeight="1" x14ac:dyDescent="0.15">
      <c r="A52" s="22">
        <v>51</v>
      </c>
      <c r="B52" s="23" t="s">
        <v>46</v>
      </c>
      <c r="C52" s="23" t="s">
        <v>72</v>
      </c>
      <c r="D52" s="23" t="s">
        <v>73</v>
      </c>
      <c r="E52" s="24">
        <v>6047</v>
      </c>
      <c r="F52" s="25">
        <v>4323.2948940149017</v>
      </c>
      <c r="G52" s="23" t="s">
        <v>34</v>
      </c>
      <c r="H52" s="23"/>
      <c r="I52" s="23"/>
      <c r="J52" s="23"/>
      <c r="K52" s="22" t="s">
        <v>71</v>
      </c>
      <c r="L52" s="22" t="str">
        <f>VLOOKUP(C52,'LU CLASS'!$B$2:$E$25,4,FALSE)</f>
        <v>32-Woodlands</v>
      </c>
      <c r="M52" s="22" t="str">
        <f>VLOOKUP(D52,'LU CLASS'!$B$2:$E$25,4,FALSE)</f>
        <v>42-Woodlands_Degraded_by_logging</v>
      </c>
    </row>
    <row r="53" spans="1:13" ht="15" customHeight="1" x14ac:dyDescent="0.15">
      <c r="A53" s="22">
        <v>52</v>
      </c>
      <c r="B53" s="23" t="s">
        <v>46</v>
      </c>
      <c r="C53" s="23" t="s">
        <v>76</v>
      </c>
      <c r="D53" s="23" t="s">
        <v>77</v>
      </c>
      <c r="E53" s="24">
        <v>2218.0822338888702</v>
      </c>
      <c r="F53" s="25">
        <v>1567.8989100889855</v>
      </c>
      <c r="G53" s="23" t="s">
        <v>34</v>
      </c>
      <c r="H53" s="23"/>
      <c r="I53" s="23"/>
      <c r="J53" s="23"/>
      <c r="K53" s="22" t="s">
        <v>71</v>
      </c>
      <c r="L53" s="22" t="str">
        <f>VLOOKUP(C53,'LU CLASS'!$B$2:$E$25,4,FALSE)</f>
        <v>34-Woodlands</v>
      </c>
      <c r="M53" s="22" t="str">
        <f>VLOOKUP(D53,'LU CLASS'!$B$2:$E$25,4,FALSE)</f>
        <v>44-Woodlands_Degraded_by_other</v>
      </c>
    </row>
    <row r="54" spans="1:13" ht="15" customHeight="1" x14ac:dyDescent="0.15">
      <c r="A54" s="22">
        <v>53</v>
      </c>
      <c r="B54" s="23" t="s">
        <v>46</v>
      </c>
      <c r="C54" s="23" t="s">
        <v>65</v>
      </c>
      <c r="D54" s="23" t="s">
        <v>66</v>
      </c>
      <c r="E54" s="24">
        <v>1109.0723820441096</v>
      </c>
      <c r="F54" s="25">
        <v>1109.0723820441096</v>
      </c>
      <c r="G54" s="23" t="s">
        <v>34</v>
      </c>
      <c r="H54" s="23"/>
      <c r="I54" s="23"/>
      <c r="J54" s="23"/>
      <c r="K54" s="22" t="s">
        <v>63</v>
      </c>
      <c r="L54" s="22" t="str">
        <f>VLOOKUP(C54,'LU CLASS'!$B$2:$E$25,4,FALSE)</f>
        <v>51-Plantations commercial</v>
      </c>
      <c r="M54" s="22" t="str">
        <f>VLOOKUP(D54,'LU CLASS'!$B$2:$E$25,4,FALSE)</f>
        <v>72-Cropland_annual</v>
      </c>
    </row>
    <row r="55" spans="1:13" ht="15" customHeight="1" x14ac:dyDescent="0.15">
      <c r="A55" s="22">
        <v>54</v>
      </c>
      <c r="B55" s="23" t="s">
        <v>46</v>
      </c>
      <c r="C55" s="23" t="s">
        <v>67</v>
      </c>
      <c r="D55" s="23" t="s">
        <v>66</v>
      </c>
      <c r="E55" s="24">
        <v>3327.1233451704543</v>
      </c>
      <c r="F55" s="25">
        <v>1919.5872525257344</v>
      </c>
      <c r="G55" s="23" t="s">
        <v>34</v>
      </c>
      <c r="H55" s="23"/>
      <c r="I55" s="23"/>
      <c r="J55" s="23"/>
      <c r="K55" s="22" t="s">
        <v>63</v>
      </c>
      <c r="L55" s="22" t="str">
        <f>VLOOKUP(C55,'LU CLASS'!$B$2:$E$25,4,FALSE)</f>
        <v>52-Plantations non commercial</v>
      </c>
      <c r="M55" s="22" t="str">
        <f>VLOOKUP(D55,'LU CLASS'!$B$2:$E$25,4,FALSE)</f>
        <v>72-Cropland_annual</v>
      </c>
    </row>
    <row r="56" spans="1:13" ht="15" customHeight="1" x14ac:dyDescent="0.15">
      <c r="A56" s="22">
        <v>55</v>
      </c>
      <c r="B56" s="23" t="s">
        <v>46</v>
      </c>
      <c r="C56" s="23" t="s">
        <v>67</v>
      </c>
      <c r="D56" s="23" t="s">
        <v>62</v>
      </c>
      <c r="E56" s="24">
        <v>1109.0411150568182</v>
      </c>
      <c r="F56" s="25">
        <v>1109.0723820441096</v>
      </c>
      <c r="G56" s="23" t="s">
        <v>34</v>
      </c>
      <c r="H56" s="23"/>
      <c r="I56" s="23"/>
      <c r="J56" s="23"/>
      <c r="K56" s="22" t="s">
        <v>63</v>
      </c>
      <c r="L56" s="22" t="str">
        <f>VLOOKUP(C56,'LU CLASS'!$B$2:$E$25,4,FALSE)</f>
        <v>52-Plantations non commercial</v>
      </c>
      <c r="M56" s="22" t="str">
        <f>VLOOKUP(D56,'LU CLASS'!$B$2:$E$25,4,FALSE)</f>
        <v>80-Grassland</v>
      </c>
    </row>
    <row r="57" spans="1:13" ht="15" customHeight="1" x14ac:dyDescent="0.15">
      <c r="A57" s="17">
        <v>56</v>
      </c>
      <c r="B57" s="7" t="s">
        <v>47</v>
      </c>
      <c r="C57" s="7" t="s">
        <v>61</v>
      </c>
      <c r="D57" s="7" t="s">
        <v>66</v>
      </c>
      <c r="E57" s="18">
        <v>2995.4016390978768</v>
      </c>
      <c r="F57" s="19">
        <v>2188.2035887964166</v>
      </c>
      <c r="G57" s="7" t="s">
        <v>34</v>
      </c>
      <c r="H57" s="7"/>
      <c r="I57" s="7"/>
      <c r="J57" s="7"/>
      <c r="K57" s="17" t="s">
        <v>63</v>
      </c>
      <c r="L57" s="17" t="str">
        <f>VLOOKUP(C57,'LU CLASS'!$B$2:$E$25,4,FALSE)</f>
        <v>10-Tropical High Forest</v>
      </c>
      <c r="M57" s="17" t="str">
        <f>VLOOKUP(D57,'LU CLASS'!$B$2:$E$25,4,FALSE)</f>
        <v>72-Cropland_annual</v>
      </c>
    </row>
    <row r="58" spans="1:13" ht="15" customHeight="1" x14ac:dyDescent="0.15">
      <c r="A58" s="17">
        <v>57</v>
      </c>
      <c r="B58" s="7" t="s">
        <v>47</v>
      </c>
      <c r="C58" s="7" t="s">
        <v>61</v>
      </c>
      <c r="D58" s="7" t="s">
        <v>62</v>
      </c>
      <c r="E58" s="18">
        <v>1109.0411150568182</v>
      </c>
      <c r="F58" s="19">
        <v>1109.0723820441096</v>
      </c>
      <c r="G58" s="7" t="s">
        <v>34</v>
      </c>
      <c r="H58" s="7"/>
      <c r="I58" s="7"/>
      <c r="J58" s="7"/>
      <c r="K58" s="17" t="s">
        <v>63</v>
      </c>
      <c r="L58" s="17" t="str">
        <f>VLOOKUP(C58,'LU CLASS'!$B$2:$E$25,4,FALSE)</f>
        <v>10-Tropical High Forest</v>
      </c>
      <c r="M58" s="17" t="str">
        <f>VLOOKUP(D58,'LU CLASS'!$B$2:$E$25,4,FALSE)</f>
        <v>80-Grassland</v>
      </c>
    </row>
    <row r="59" spans="1:13" ht="15" customHeight="1" x14ac:dyDescent="0.15">
      <c r="A59" s="17">
        <v>58</v>
      </c>
      <c r="B59" s="7" t="s">
        <v>47</v>
      </c>
      <c r="C59" s="7" t="s">
        <v>80</v>
      </c>
      <c r="D59" s="7" t="s">
        <v>81</v>
      </c>
      <c r="E59" s="18">
        <v>1109.0411150568182</v>
      </c>
      <c r="F59" s="19">
        <v>1109.0723820441096</v>
      </c>
      <c r="G59" s="7" t="s">
        <v>34</v>
      </c>
      <c r="H59" s="7"/>
      <c r="I59" s="7"/>
      <c r="J59" s="7"/>
      <c r="K59" s="17" t="s">
        <v>71</v>
      </c>
      <c r="L59" s="17" t="str">
        <f>VLOOKUP(C59,'LU CLASS'!$B$2:$E$25,4,FALSE)</f>
        <v>11-Tropical High Forest</v>
      </c>
      <c r="M59" s="17" t="str">
        <f>VLOOKUP(D59,'LU CLASS'!$B$2:$E$25,4,FALSE)</f>
        <v>21-Tropical High Forest Degraded by other</v>
      </c>
    </row>
    <row r="60" spans="1:13" ht="15" customHeight="1" x14ac:dyDescent="0.15">
      <c r="A60" s="17">
        <v>59</v>
      </c>
      <c r="B60" s="7" t="s">
        <v>47</v>
      </c>
      <c r="C60" s="7" t="s">
        <v>64</v>
      </c>
      <c r="D60" s="7" t="s">
        <v>66</v>
      </c>
      <c r="E60" s="18">
        <v>17366.805603558201</v>
      </c>
      <c r="F60" s="19">
        <v>5653.9525756718413</v>
      </c>
      <c r="G60" s="7" t="s">
        <v>34</v>
      </c>
      <c r="H60" s="7"/>
      <c r="I60" s="7"/>
      <c r="J60" s="7"/>
      <c r="K60" s="17" t="s">
        <v>63</v>
      </c>
      <c r="L60" s="17" t="str">
        <f>VLOOKUP(C60,'LU CLASS'!$B$2:$E$25,4,FALSE)</f>
        <v>30-Woodlands</v>
      </c>
      <c r="M60" s="17" t="str">
        <f>VLOOKUP(D60,'LU CLASS'!$B$2:$E$25,4,FALSE)</f>
        <v>72-Cropland_annual</v>
      </c>
    </row>
    <row r="61" spans="1:13" ht="15" customHeight="1" x14ac:dyDescent="0.15">
      <c r="A61" s="17">
        <v>60</v>
      </c>
      <c r="B61" s="7" t="s">
        <v>47</v>
      </c>
      <c r="C61" s="7" t="s">
        <v>64</v>
      </c>
      <c r="D61" s="7" t="s">
        <v>62</v>
      </c>
      <c r="E61" s="18">
        <v>9649.6483294387854</v>
      </c>
      <c r="F61" s="19">
        <v>3483.25</v>
      </c>
      <c r="G61" s="7" t="s">
        <v>34</v>
      </c>
      <c r="H61" s="7"/>
      <c r="I61" s="7"/>
      <c r="J61" s="7"/>
      <c r="K61" s="17" t="s">
        <v>63</v>
      </c>
      <c r="L61" s="17" t="str">
        <f>VLOOKUP(C61,'LU CLASS'!$B$2:$E$25,4,FALSE)</f>
        <v>30-Woodlands</v>
      </c>
      <c r="M61" s="17" t="str">
        <f>VLOOKUP(D61,'LU CLASS'!$B$2:$E$25,4,FALSE)</f>
        <v>80-Grassland</v>
      </c>
    </row>
    <row r="62" spans="1:13" ht="15" customHeight="1" x14ac:dyDescent="0.15">
      <c r="A62" s="17">
        <v>61</v>
      </c>
      <c r="B62" s="7" t="s">
        <v>47</v>
      </c>
      <c r="C62" s="7" t="s">
        <v>78</v>
      </c>
      <c r="D62" s="7" t="s">
        <v>79</v>
      </c>
      <c r="E62" s="18">
        <v>3681</v>
      </c>
      <c r="F62" s="19">
        <v>2801.23</v>
      </c>
      <c r="G62" s="7" t="s">
        <v>34</v>
      </c>
      <c r="H62" s="7"/>
      <c r="I62" s="7"/>
      <c r="J62" s="7"/>
      <c r="K62" s="17" t="s">
        <v>71</v>
      </c>
      <c r="L62" s="17" t="str">
        <f>VLOOKUP(C62,'LU CLASS'!$B$2:$E$25,4,FALSE)</f>
        <v>31-Woodlands</v>
      </c>
      <c r="M62" s="17" t="str">
        <f>VLOOKUP(D62,'LU CLASS'!$B$2:$E$25,4,FALSE)</f>
        <v>41-Woodlands_Degraded_by_fire</v>
      </c>
    </row>
    <row r="63" spans="1:13" ht="15" customHeight="1" x14ac:dyDescent="0.15">
      <c r="A63" s="17">
        <v>62</v>
      </c>
      <c r="B63" s="7" t="s">
        <v>47</v>
      </c>
      <c r="C63" s="7" t="s">
        <v>76</v>
      </c>
      <c r="D63" s="7" t="s">
        <v>77</v>
      </c>
      <c r="E63" s="18">
        <v>1109</v>
      </c>
      <c r="F63" s="19">
        <v>1109.0723820441096</v>
      </c>
      <c r="G63" s="7" t="s">
        <v>34</v>
      </c>
      <c r="H63" s="7"/>
      <c r="I63" s="7"/>
      <c r="J63" s="7"/>
      <c r="K63" s="17" t="s">
        <v>71</v>
      </c>
      <c r="L63" s="17" t="str">
        <f>VLOOKUP(C63,'LU CLASS'!$B$2:$E$25,4,FALSE)</f>
        <v>34-Woodlands</v>
      </c>
      <c r="M63" s="17" t="str">
        <f>VLOOKUP(D63,'LU CLASS'!$B$2:$E$25,4,FALSE)</f>
        <v>44-Woodlands_Degraded_by_other</v>
      </c>
    </row>
    <row r="64" spans="1:13" ht="15" customHeight="1" x14ac:dyDescent="0.15">
      <c r="A64" s="17">
        <v>63</v>
      </c>
      <c r="B64" s="7" t="s">
        <v>47</v>
      </c>
      <c r="C64" s="7" t="s">
        <v>65</v>
      </c>
      <c r="D64" s="7" t="s">
        <v>66</v>
      </c>
      <c r="E64" s="18">
        <v>1109.0723820441096</v>
      </c>
      <c r="F64" s="19">
        <v>1109.0723820441096</v>
      </c>
      <c r="G64" s="7" t="s">
        <v>34</v>
      </c>
      <c r="H64" s="7"/>
      <c r="I64" s="7"/>
      <c r="J64" s="7"/>
      <c r="K64" s="17" t="s">
        <v>63</v>
      </c>
      <c r="L64" s="17" t="str">
        <f>VLOOKUP(C64,'LU CLASS'!$B$2:$E$25,4,FALSE)</f>
        <v>51-Plantations commercial</v>
      </c>
      <c r="M64" s="17" t="str">
        <f>VLOOKUP(D64,'LU CLASS'!$B$2:$E$25,4,FALSE)</f>
        <v>72-Cropland_annual</v>
      </c>
    </row>
    <row r="65" spans="1:13" ht="15" customHeight="1" x14ac:dyDescent="0.15">
      <c r="A65" s="17">
        <v>64</v>
      </c>
      <c r="B65" s="7" t="s">
        <v>47</v>
      </c>
      <c r="C65" s="7" t="s">
        <v>65</v>
      </c>
      <c r="D65" s="7" t="s">
        <v>62</v>
      </c>
      <c r="E65" s="18">
        <v>3695.8970604781998</v>
      </c>
      <c r="F65" s="19">
        <v>2612.5239606774985</v>
      </c>
      <c r="G65" s="7" t="s">
        <v>34</v>
      </c>
      <c r="H65" s="7"/>
      <c r="I65" s="7"/>
      <c r="J65" s="7"/>
      <c r="K65" s="17" t="s">
        <v>63</v>
      </c>
      <c r="L65" s="17" t="str">
        <f>VLOOKUP(C65,'LU CLASS'!$B$2:$E$25,4,FALSE)</f>
        <v>51-Plantations commercial</v>
      </c>
      <c r="M65" s="17" t="str">
        <f>VLOOKUP(D65,'LU CLASS'!$B$2:$E$25,4,FALSE)</f>
        <v>80-Grassland</v>
      </c>
    </row>
    <row r="66" spans="1:13" ht="15" customHeight="1" x14ac:dyDescent="0.15">
      <c r="A66" s="17">
        <v>65</v>
      </c>
      <c r="B66" s="7" t="s">
        <v>47</v>
      </c>
      <c r="C66" s="7" t="s">
        <v>67</v>
      </c>
      <c r="D66" s="7" t="s">
        <v>66</v>
      </c>
      <c r="E66" s="18">
        <v>1886.3605240410589</v>
      </c>
      <c r="F66" s="19">
        <v>1886.4137058480558</v>
      </c>
      <c r="G66" s="7" t="s">
        <v>34</v>
      </c>
      <c r="H66" s="7"/>
      <c r="I66" s="7"/>
      <c r="J66" s="7"/>
      <c r="K66" s="17" t="s">
        <v>63</v>
      </c>
      <c r="L66" s="17" t="str">
        <f>VLOOKUP(C66,'LU CLASS'!$B$2:$E$25,4,FALSE)</f>
        <v>52-Plantations non commercial</v>
      </c>
      <c r="M66" s="17" t="str">
        <f>VLOOKUP(D66,'LU CLASS'!$B$2:$E$25,4,FALSE)</f>
        <v>72-Cropland_annual</v>
      </c>
    </row>
    <row r="67" spans="1:13" ht="15" customHeight="1" x14ac:dyDescent="0.15">
      <c r="A67" s="22">
        <v>66</v>
      </c>
      <c r="B67" s="23" t="s">
        <v>49</v>
      </c>
      <c r="C67" s="23" t="s">
        <v>61</v>
      </c>
      <c r="D67" s="23" t="s">
        <v>68</v>
      </c>
      <c r="E67" s="24">
        <v>600</v>
      </c>
      <c r="F67" s="25">
        <v>599.577</v>
      </c>
      <c r="G67" s="23" t="s">
        <v>34</v>
      </c>
      <c r="H67" s="23"/>
      <c r="I67" s="23"/>
      <c r="J67" s="23"/>
      <c r="K67" s="22" t="s">
        <v>63</v>
      </c>
      <c r="L67" s="22" t="str">
        <f>VLOOKUP(C67,'LU CLASS'!$B$2:$E$25,4,FALSE)</f>
        <v>10-Tropical High Forest</v>
      </c>
      <c r="M67" s="22" t="str">
        <f>VLOOKUP(D67,'LU CLASS'!$B$2:$E$25,4,FALSE)</f>
        <v>71-Cropland_perennial</v>
      </c>
    </row>
    <row r="68" spans="1:13" ht="15" customHeight="1" x14ac:dyDescent="0.15">
      <c r="A68" s="22">
        <v>67</v>
      </c>
      <c r="B68" s="23" t="s">
        <v>49</v>
      </c>
      <c r="C68" s="23" t="s">
        <v>69</v>
      </c>
      <c r="D68" s="23" t="s">
        <v>70</v>
      </c>
      <c r="E68" s="24">
        <v>7749</v>
      </c>
      <c r="F68" s="25">
        <v>4466.88</v>
      </c>
      <c r="G68" s="23" t="s">
        <v>34</v>
      </c>
      <c r="H68" s="23"/>
      <c r="I68" s="23"/>
      <c r="J68" s="23"/>
      <c r="K68" s="22" t="s">
        <v>71</v>
      </c>
      <c r="L68" s="22" t="str">
        <f>VLOOKUP(C68,'LU CLASS'!$B$2:$E$25,4,FALSE)</f>
        <v>12-Tropical High Forest</v>
      </c>
      <c r="M68" s="22" t="str">
        <f>VLOOKUP(D68,'LU CLASS'!$B$2:$E$25,4,FALSE)</f>
        <v>22-Tropical High Forest Degraded by logging</v>
      </c>
    </row>
    <row r="69" spans="1:13" ht="15" customHeight="1" x14ac:dyDescent="0.15">
      <c r="A69" s="22">
        <v>68</v>
      </c>
      <c r="B69" s="23" t="s">
        <v>49</v>
      </c>
      <c r="C69" s="23" t="s">
        <v>64</v>
      </c>
      <c r="D69" s="23" t="s">
        <v>68</v>
      </c>
      <c r="E69" s="24">
        <v>6141</v>
      </c>
      <c r="F69" s="25">
        <v>3929</v>
      </c>
      <c r="G69" s="23" t="s">
        <v>34</v>
      </c>
      <c r="H69" s="23"/>
      <c r="I69" s="23"/>
      <c r="J69" s="23"/>
      <c r="K69" s="22" t="s">
        <v>63</v>
      </c>
      <c r="L69" s="22" t="str">
        <f>VLOOKUP(C69,'LU CLASS'!$B$2:$E$25,4,FALSE)</f>
        <v>30-Woodlands</v>
      </c>
      <c r="M69" s="22" t="str">
        <f>VLOOKUP(D69,'LU CLASS'!$B$2:$E$25,4,FALSE)</f>
        <v>71-Cropland_perennial</v>
      </c>
    </row>
    <row r="70" spans="1:13" ht="15" customHeight="1" x14ac:dyDescent="0.15">
      <c r="A70" s="22">
        <v>69</v>
      </c>
      <c r="B70" s="23" t="s">
        <v>49</v>
      </c>
      <c r="C70" s="23" t="s">
        <v>64</v>
      </c>
      <c r="D70" s="23" t="s">
        <v>62</v>
      </c>
      <c r="E70" s="24">
        <v>15958</v>
      </c>
      <c r="F70" s="25">
        <v>6971.08</v>
      </c>
      <c r="G70" s="23" t="s">
        <v>34</v>
      </c>
      <c r="H70" s="23"/>
      <c r="I70" s="23"/>
      <c r="J70" s="23"/>
      <c r="K70" s="22" t="s">
        <v>63</v>
      </c>
      <c r="L70" s="22" t="str">
        <f>VLOOKUP(C70,'LU CLASS'!$B$2:$E$25,4,FALSE)</f>
        <v>30-Woodlands</v>
      </c>
      <c r="M70" s="22" t="str">
        <f>VLOOKUP(D70,'LU CLASS'!$B$2:$E$25,4,FALSE)</f>
        <v>80-Grassland</v>
      </c>
    </row>
    <row r="71" spans="1:13" ht="15" customHeight="1" x14ac:dyDescent="0.15">
      <c r="A71" s="22">
        <v>70</v>
      </c>
      <c r="B71" s="23" t="s">
        <v>49</v>
      </c>
      <c r="C71" s="23" t="s">
        <v>64</v>
      </c>
      <c r="D71" s="23" t="s">
        <v>82</v>
      </c>
      <c r="E71" s="24">
        <v>600</v>
      </c>
      <c r="F71" s="25">
        <v>599.97699999999998</v>
      </c>
      <c r="G71" s="23" t="s">
        <v>34</v>
      </c>
      <c r="H71" s="23"/>
      <c r="I71" s="23"/>
      <c r="J71" s="23"/>
      <c r="K71" s="22" t="s">
        <v>63</v>
      </c>
      <c r="L71" s="22" t="str">
        <f>VLOOKUP(C71,'LU CLASS'!$B$2:$E$25,4,FALSE)</f>
        <v>30-Woodlands</v>
      </c>
      <c r="M71" s="22" t="str">
        <f>VLOOKUP(D71,'LU CLASS'!$B$2:$E$25,4,FALSE)</f>
        <v>90-Settlement</v>
      </c>
    </row>
    <row r="72" spans="1:13" ht="15" customHeight="1" x14ac:dyDescent="0.15">
      <c r="A72" s="22">
        <v>71</v>
      </c>
      <c r="B72" s="23" t="s">
        <v>49</v>
      </c>
      <c r="C72" s="23" t="s">
        <v>72</v>
      </c>
      <c r="D72" s="23" t="s">
        <v>73</v>
      </c>
      <c r="E72" s="24">
        <v>2806.3925051628653</v>
      </c>
      <c r="F72" s="25">
        <v>2286.73</v>
      </c>
      <c r="G72" s="23" t="s">
        <v>34</v>
      </c>
      <c r="H72" s="23"/>
      <c r="I72" s="23"/>
      <c r="J72" s="23"/>
      <c r="K72" s="22" t="s">
        <v>71</v>
      </c>
      <c r="L72" s="22" t="str">
        <f>VLOOKUP(C72,'LU CLASS'!$B$2:$E$25,4,FALSE)</f>
        <v>32-Woodlands</v>
      </c>
      <c r="M72" s="22" t="str">
        <f>VLOOKUP(D72,'LU CLASS'!$B$2:$E$25,4,FALSE)</f>
        <v>42-Woodlands_Degraded_by_logging</v>
      </c>
    </row>
    <row r="73" spans="1:13" ht="15" customHeight="1" x14ac:dyDescent="0.15">
      <c r="A73" s="22">
        <v>72</v>
      </c>
      <c r="B73" s="23" t="s">
        <v>49</v>
      </c>
      <c r="C73" s="23" t="s">
        <v>76</v>
      </c>
      <c r="D73" s="23" t="s">
        <v>77</v>
      </c>
      <c r="E73" s="24">
        <v>3743.100845468417</v>
      </c>
      <c r="F73" s="25">
        <v>3743.09</v>
      </c>
      <c r="G73" s="23" t="s">
        <v>34</v>
      </c>
      <c r="H73" s="23"/>
      <c r="I73" s="23"/>
      <c r="J73" s="23"/>
      <c r="K73" s="22" t="s">
        <v>71</v>
      </c>
      <c r="L73" s="22" t="str">
        <f>VLOOKUP(C73,'LU CLASS'!$B$2:$E$25,4,FALSE)</f>
        <v>34-Woodlands</v>
      </c>
      <c r="M73" s="22" t="str">
        <f>VLOOKUP(D73,'LU CLASS'!$B$2:$E$25,4,FALSE)</f>
        <v>44-Woodlands_Degraded_by_other</v>
      </c>
    </row>
    <row r="74" spans="1:13" ht="15" customHeight="1" x14ac:dyDescent="0.15">
      <c r="A74" s="22">
        <v>73</v>
      </c>
      <c r="B74" s="23" t="s">
        <v>49</v>
      </c>
      <c r="C74" s="23" t="s">
        <v>67</v>
      </c>
      <c r="D74" s="23" t="s">
        <v>68</v>
      </c>
      <c r="E74" s="24">
        <v>3406</v>
      </c>
      <c r="F74" s="25">
        <v>2363.0682912226885</v>
      </c>
      <c r="G74" s="23" t="s">
        <v>34</v>
      </c>
      <c r="H74" s="23"/>
      <c r="I74" s="23"/>
      <c r="J74" s="23"/>
      <c r="K74" s="22" t="s">
        <v>63</v>
      </c>
      <c r="L74" s="22" t="str">
        <f>VLOOKUP(C74,'LU CLASS'!$B$2:$E$25,4,FALSE)</f>
        <v>52-Plantations non commercial</v>
      </c>
      <c r="M74" s="22" t="str">
        <f>VLOOKUP(D74,'LU CLASS'!$B$2:$E$25,4,FALSE)</f>
        <v>71-Cropland_perennial</v>
      </c>
    </row>
  </sheetData>
  <autoFilter ref="A1:K74" xr:uid="{00000000-0001-0000-0300-000000000000}">
    <sortState xmlns:xlrd2="http://schemas.microsoft.com/office/spreadsheetml/2017/richdata2" ref="A2:K74">
      <sortCondition ref="B1:B74"/>
    </sortState>
  </autoFilter>
  <phoneticPr fontId="10" type="noConversion"/>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M35"/>
  <sheetViews>
    <sheetView zoomScale="179" zoomScaleNormal="150" workbookViewId="0">
      <selection activeCell="G10" sqref="G10"/>
    </sheetView>
  </sheetViews>
  <sheetFormatPr baseColWidth="10" defaultColWidth="12.5" defaultRowHeight="13" x14ac:dyDescent="0.15"/>
  <cols>
    <col min="1" max="1" width="5.83203125" customWidth="1"/>
    <col min="2" max="2" width="9.5" customWidth="1"/>
    <col min="3" max="3" width="15.5" bestFit="1" customWidth="1"/>
    <col min="4" max="4" width="11.1640625" bestFit="1" customWidth="1"/>
    <col min="5" max="5" width="9.33203125" customWidth="1"/>
    <col min="6" max="6" width="8.5" customWidth="1"/>
    <col min="7" max="7" width="7.1640625" customWidth="1"/>
    <col min="8" max="8" width="6.5" customWidth="1"/>
    <col min="9" max="11" width="8.83203125" customWidth="1"/>
    <col min="12" max="12" width="36.33203125" bestFit="1" customWidth="1"/>
  </cols>
  <sheetData>
    <row r="1" spans="1:13" ht="16" x14ac:dyDescent="0.2">
      <c r="A1" s="28" t="s">
        <v>83</v>
      </c>
      <c r="B1" s="28" t="s">
        <v>84</v>
      </c>
      <c r="C1" s="28" t="s">
        <v>124</v>
      </c>
      <c r="D1" s="28" t="s">
        <v>85</v>
      </c>
      <c r="E1" s="28" t="s">
        <v>17</v>
      </c>
      <c r="F1" s="28" t="s">
        <v>86</v>
      </c>
      <c r="G1" s="28" t="s">
        <v>87</v>
      </c>
      <c r="H1" s="28" t="s">
        <v>88</v>
      </c>
      <c r="I1" s="28" t="s">
        <v>89</v>
      </c>
      <c r="J1" s="28" t="s">
        <v>90</v>
      </c>
      <c r="K1" s="28" t="s">
        <v>91</v>
      </c>
      <c r="L1" s="44" t="s">
        <v>138</v>
      </c>
      <c r="M1" s="45" t="s">
        <v>139</v>
      </c>
    </row>
    <row r="2" spans="1:13" x14ac:dyDescent="0.15">
      <c r="A2" s="17">
        <v>1</v>
      </c>
      <c r="B2" s="17" t="s">
        <v>35</v>
      </c>
      <c r="C2" s="17" t="s">
        <v>61</v>
      </c>
      <c r="D2" s="17" t="s">
        <v>92</v>
      </c>
      <c r="E2" s="17" t="s">
        <v>33</v>
      </c>
      <c r="F2" s="7">
        <v>231.7</v>
      </c>
      <c r="G2" s="29">
        <v>2.7869999999999999</v>
      </c>
      <c r="H2" s="17" t="s">
        <v>34</v>
      </c>
      <c r="I2" s="17"/>
      <c r="J2" s="17"/>
      <c r="K2" s="17"/>
      <c r="L2" s="46" t="str">
        <f>VLOOKUP(C2,'LU CLASS'!$B$2:$E$26,4,FALSE)</f>
        <v>10-Tropical High Forest</v>
      </c>
      <c r="M2" s="47">
        <f>IF(G2=0,0,ROUND(_xlfn.T.INV.2T(1-setup!$F$2,10000)*G2/F2* 100, setup!$G$2))</f>
        <v>1.98</v>
      </c>
    </row>
    <row r="3" spans="1:13" x14ac:dyDescent="0.15">
      <c r="A3" s="17">
        <v>2</v>
      </c>
      <c r="B3" s="17" t="s">
        <v>35</v>
      </c>
      <c r="C3" s="17" t="s">
        <v>80</v>
      </c>
      <c r="D3" s="17" t="s">
        <v>92</v>
      </c>
      <c r="E3" s="17" t="s">
        <v>33</v>
      </c>
      <c r="F3" s="7">
        <v>231.7</v>
      </c>
      <c r="G3" s="29">
        <v>2.7869999999999999</v>
      </c>
      <c r="H3" s="17" t="s">
        <v>34</v>
      </c>
      <c r="I3" s="17"/>
      <c r="J3" s="17"/>
      <c r="K3" s="17"/>
      <c r="L3" s="46" t="str">
        <f>VLOOKUP(C3,'LU CLASS'!$B$2:$E$26,4,FALSE)</f>
        <v>11-Tropical High Forest</v>
      </c>
      <c r="M3" s="47">
        <f>IF(G3=0,0,ROUND(_xlfn.T.INV.2T(1-setup!$F$2,10000)*G3/F3* 100, setup!$G$2))</f>
        <v>1.98</v>
      </c>
    </row>
    <row r="4" spans="1:13" x14ac:dyDescent="0.15">
      <c r="A4" s="17">
        <v>3</v>
      </c>
      <c r="B4" s="17" t="s">
        <v>35</v>
      </c>
      <c r="C4" s="17" t="s">
        <v>69</v>
      </c>
      <c r="D4" s="17" t="s">
        <v>92</v>
      </c>
      <c r="E4" s="17" t="s">
        <v>33</v>
      </c>
      <c r="F4" s="7">
        <v>231.7</v>
      </c>
      <c r="G4" s="29">
        <v>2.7869999999999999</v>
      </c>
      <c r="H4" s="17" t="s">
        <v>34</v>
      </c>
      <c r="I4" s="17"/>
      <c r="J4" s="17"/>
      <c r="K4" s="17"/>
      <c r="L4" s="46" t="str">
        <f>VLOOKUP(C4,'LU CLASS'!$B$2:$E$26,4,FALSE)</f>
        <v>12-Tropical High Forest</v>
      </c>
      <c r="M4" s="47">
        <f>IF(G4=0,0,ROUND(_xlfn.T.INV.2T(1-setup!$F$2,10000)*G4/F4* 100, setup!$G$2))</f>
        <v>1.98</v>
      </c>
    </row>
    <row r="5" spans="1:13" x14ac:dyDescent="0.15">
      <c r="A5" s="17">
        <v>4</v>
      </c>
      <c r="B5" s="17" t="s">
        <v>35</v>
      </c>
      <c r="C5" s="17" t="s">
        <v>64</v>
      </c>
      <c r="D5" s="17" t="s">
        <v>92</v>
      </c>
      <c r="E5" s="17" t="s">
        <v>33</v>
      </c>
      <c r="F5" s="29">
        <v>17.8</v>
      </c>
      <c r="G5" s="29">
        <v>1.0078</v>
      </c>
      <c r="H5" s="17" t="s">
        <v>34</v>
      </c>
      <c r="I5" s="17"/>
      <c r="J5" s="17"/>
      <c r="K5" s="17"/>
      <c r="L5" s="46" t="str">
        <f>VLOOKUP(C5,'LU CLASS'!$B$2:$E$26,4,FALSE)</f>
        <v>30-Woodlands</v>
      </c>
      <c r="M5" s="47">
        <f>IF(G5=0,0,ROUND(_xlfn.T.INV.2T(1-setup!$F$2,10000)*G5/F5* 100, setup!$G$2))</f>
        <v>9.31</v>
      </c>
    </row>
    <row r="6" spans="1:13" x14ac:dyDescent="0.15">
      <c r="A6" s="17">
        <v>5</v>
      </c>
      <c r="B6" s="17" t="s">
        <v>35</v>
      </c>
      <c r="C6" s="17" t="s">
        <v>78</v>
      </c>
      <c r="D6" s="17" t="s">
        <v>92</v>
      </c>
      <c r="E6" s="17" t="s">
        <v>33</v>
      </c>
      <c r="F6" s="29">
        <v>17.8</v>
      </c>
      <c r="G6" s="29">
        <v>1.0078</v>
      </c>
      <c r="H6" s="17" t="s">
        <v>34</v>
      </c>
      <c r="I6" s="17"/>
      <c r="J6" s="17"/>
      <c r="K6" s="17"/>
      <c r="L6" s="46" t="str">
        <f>VLOOKUP(C6,'LU CLASS'!$B$2:$E$26,4,FALSE)</f>
        <v>31-Woodlands</v>
      </c>
      <c r="M6" s="47">
        <f>IF(G6=0,0,ROUND(_xlfn.T.INV.2T(1-setup!$F$2,10000)*G6/F6* 100, setup!$G$2))</f>
        <v>9.31</v>
      </c>
    </row>
    <row r="7" spans="1:13" x14ac:dyDescent="0.15">
      <c r="A7" s="17">
        <v>6</v>
      </c>
      <c r="B7" s="17" t="s">
        <v>35</v>
      </c>
      <c r="C7" s="17" t="s">
        <v>72</v>
      </c>
      <c r="D7" s="17" t="s">
        <v>92</v>
      </c>
      <c r="E7" s="17" t="s">
        <v>33</v>
      </c>
      <c r="F7" s="29">
        <v>17.8</v>
      </c>
      <c r="G7" s="29">
        <v>1.0078</v>
      </c>
      <c r="H7" s="17" t="s">
        <v>34</v>
      </c>
      <c r="I7" s="17"/>
      <c r="J7" s="17"/>
      <c r="K7" s="17"/>
      <c r="L7" s="46" t="str">
        <f>VLOOKUP(C7,'LU CLASS'!$B$2:$E$26,4,FALSE)</f>
        <v>32-Woodlands</v>
      </c>
      <c r="M7" s="47">
        <f>IF(G7=0,0,ROUND(_xlfn.T.INV.2T(1-setup!$F$2,10000)*G7/F7* 100, setup!$G$2))</f>
        <v>9.31</v>
      </c>
    </row>
    <row r="8" spans="1:13" x14ac:dyDescent="0.15">
      <c r="A8" s="17">
        <v>7</v>
      </c>
      <c r="B8" s="17" t="s">
        <v>35</v>
      </c>
      <c r="C8" s="17" t="s">
        <v>74</v>
      </c>
      <c r="D8" s="17" t="s">
        <v>92</v>
      </c>
      <c r="E8" s="17" t="s">
        <v>33</v>
      </c>
      <c r="F8" s="29">
        <v>17.8</v>
      </c>
      <c r="G8" s="29">
        <v>1.0078</v>
      </c>
      <c r="H8" s="17" t="s">
        <v>34</v>
      </c>
      <c r="I8" s="17"/>
      <c r="J8" s="17"/>
      <c r="K8" s="17"/>
      <c r="L8" s="46" t="str">
        <f>VLOOKUP(C8,'LU CLASS'!$B$2:$E$26,4,FALSE)</f>
        <v>33-Woodlands</v>
      </c>
      <c r="M8" s="47">
        <f>IF(G8=0,0,ROUND(_xlfn.T.INV.2T(1-setup!$F$2,10000)*G8/F8* 100, setup!$G$2))</f>
        <v>9.31</v>
      </c>
    </row>
    <row r="9" spans="1:13" x14ac:dyDescent="0.15">
      <c r="A9" s="17">
        <v>8</v>
      </c>
      <c r="B9" s="17" t="s">
        <v>35</v>
      </c>
      <c r="C9" s="17" t="s">
        <v>76</v>
      </c>
      <c r="D9" s="17" t="s">
        <v>92</v>
      </c>
      <c r="E9" s="17" t="s">
        <v>33</v>
      </c>
      <c r="F9" s="29">
        <v>17.8</v>
      </c>
      <c r="G9" s="29">
        <v>1.0078</v>
      </c>
      <c r="H9" s="17" t="s">
        <v>34</v>
      </c>
      <c r="I9" s="17"/>
      <c r="J9" s="17"/>
      <c r="K9" s="17"/>
      <c r="L9" s="46" t="str">
        <f>VLOOKUP(C9,'LU CLASS'!$B$2:$E$26,4,FALSE)</f>
        <v>34-Woodlands</v>
      </c>
      <c r="M9" s="47">
        <f>IF(G9=0,0,ROUND(_xlfn.T.INV.2T(1-setup!$F$2,10000)*G9/F9* 100, setup!$G$2))</f>
        <v>9.31</v>
      </c>
    </row>
    <row r="10" spans="1:13" x14ac:dyDescent="0.15">
      <c r="A10" s="17">
        <v>9</v>
      </c>
      <c r="B10" s="17" t="s">
        <v>35</v>
      </c>
      <c r="C10" s="17" t="s">
        <v>65</v>
      </c>
      <c r="D10" s="17" t="s">
        <v>92</v>
      </c>
      <c r="E10" s="17" t="s">
        <v>33</v>
      </c>
      <c r="F10" s="29">
        <v>98.3</v>
      </c>
      <c r="G10" s="29">
        <v>7.91</v>
      </c>
      <c r="H10" s="17" t="s">
        <v>34</v>
      </c>
      <c r="I10" s="17"/>
      <c r="J10" s="17"/>
      <c r="K10" s="17"/>
      <c r="L10" s="46" t="str">
        <f>VLOOKUP(C10,'LU CLASS'!$B$2:$E$26,4,FALSE)</f>
        <v>51-Plantations commercial</v>
      </c>
      <c r="M10" s="47">
        <f>IF(G10=0,0,ROUND(_xlfn.T.INV.2T(1-setup!$F$2,10000)*G10/F10* 100, setup!$G$2))</f>
        <v>13.24</v>
      </c>
    </row>
    <row r="11" spans="1:13" x14ac:dyDescent="0.15">
      <c r="A11" s="17">
        <v>10</v>
      </c>
      <c r="B11" s="17" t="s">
        <v>35</v>
      </c>
      <c r="C11" s="17" t="s">
        <v>67</v>
      </c>
      <c r="D11" s="17" t="s">
        <v>92</v>
      </c>
      <c r="E11" s="17" t="s">
        <v>33</v>
      </c>
      <c r="F11" s="29">
        <v>98.3</v>
      </c>
      <c r="G11" s="29">
        <v>7.91</v>
      </c>
      <c r="H11" s="17" t="s">
        <v>34</v>
      </c>
      <c r="I11" s="17"/>
      <c r="J11" s="17"/>
      <c r="K11" s="17"/>
      <c r="L11" s="46" t="str">
        <f>VLOOKUP(C11,'LU CLASS'!$B$2:$E$26,4,FALSE)</f>
        <v>52-Plantations non commercial</v>
      </c>
      <c r="M11" s="47">
        <f>IF(G11=0,0,ROUND(_xlfn.T.INV.2T(1-setup!$F$2,10000)*G11/F11* 100, setup!$G$2))</f>
        <v>13.24</v>
      </c>
    </row>
    <row r="12" spans="1:13" x14ac:dyDescent="0.15">
      <c r="A12" s="17">
        <v>11</v>
      </c>
      <c r="B12" s="17" t="s">
        <v>35</v>
      </c>
      <c r="C12" s="17" t="s">
        <v>68</v>
      </c>
      <c r="D12" s="17" t="s">
        <v>92</v>
      </c>
      <c r="E12" s="17" t="s">
        <v>33</v>
      </c>
      <c r="F12" s="29">
        <v>5.9</v>
      </c>
      <c r="G12" s="29">
        <v>1.1439999999999999</v>
      </c>
      <c r="H12" s="17" t="s">
        <v>34</v>
      </c>
      <c r="I12" s="17"/>
      <c r="J12" s="17"/>
      <c r="K12" s="30"/>
      <c r="L12" s="48" t="str">
        <f>VLOOKUP(C12,'LU CLASS'!$B$2:$E$26,4,FALSE)</f>
        <v>71-Cropland_perennial</v>
      </c>
      <c r="M12" s="47">
        <f>IF(G12=0,0,ROUND(_xlfn.T.INV.2T(1-setup!$F$2,10000)*G12/F12* 100, setup!$G$2))</f>
        <v>31.9</v>
      </c>
    </row>
    <row r="13" spans="1:13" x14ac:dyDescent="0.15">
      <c r="A13" s="17">
        <v>12</v>
      </c>
      <c r="B13" s="17" t="s">
        <v>35</v>
      </c>
      <c r="C13" s="17" t="s">
        <v>66</v>
      </c>
      <c r="D13" s="17" t="s">
        <v>92</v>
      </c>
      <c r="E13" s="17" t="s">
        <v>33</v>
      </c>
      <c r="F13" s="29">
        <v>8.1199999999999992</v>
      </c>
      <c r="G13" s="29">
        <v>3.83</v>
      </c>
      <c r="H13" s="17" t="s">
        <v>34</v>
      </c>
      <c r="I13" s="17"/>
      <c r="J13" s="17"/>
      <c r="K13" s="30"/>
      <c r="L13" s="48" t="str">
        <f>VLOOKUP(C13,'LU CLASS'!$B$2:$E$26,4,FALSE)</f>
        <v>72-Cropland_annual</v>
      </c>
      <c r="M13" s="47">
        <f>IF(G13=0,0,ROUND(_xlfn.T.INV.2T(1-setup!$F$2,10000)*G13/F13* 100, setup!$G$2))</f>
        <v>77.59</v>
      </c>
    </row>
    <row r="14" spans="1:13" x14ac:dyDescent="0.15">
      <c r="A14" s="17">
        <v>13</v>
      </c>
      <c r="B14" s="17" t="s">
        <v>35</v>
      </c>
      <c r="C14" s="7" t="s">
        <v>62</v>
      </c>
      <c r="D14" s="17" t="s">
        <v>92</v>
      </c>
      <c r="E14" s="17" t="s">
        <v>33</v>
      </c>
      <c r="F14" s="29">
        <v>13</v>
      </c>
      <c r="G14" s="29">
        <v>0.47899999999999998</v>
      </c>
      <c r="H14" s="17" t="s">
        <v>34</v>
      </c>
      <c r="I14" s="7"/>
      <c r="J14" s="7"/>
      <c r="K14" s="7"/>
      <c r="L14" s="41" t="str">
        <f>VLOOKUP(C14,'LU CLASS'!$B$2:$E$26,4,FALSE)</f>
        <v>80-Grassland</v>
      </c>
      <c r="M14" s="47">
        <f>IF(G14=0,0,ROUND(_xlfn.T.INV.2T(1-setup!$F$2,10000)*G14/F14* 100, setup!$G$2))</f>
        <v>6.06</v>
      </c>
    </row>
    <row r="15" spans="1:13" x14ac:dyDescent="0.15">
      <c r="A15" s="22">
        <v>14</v>
      </c>
      <c r="B15" s="22" t="s">
        <v>35</v>
      </c>
      <c r="C15" s="23" t="s">
        <v>82</v>
      </c>
      <c r="D15" s="22" t="s">
        <v>35</v>
      </c>
      <c r="E15" s="22" t="s">
        <v>125</v>
      </c>
      <c r="F15" s="34">
        <v>0</v>
      </c>
      <c r="G15" s="34">
        <v>0</v>
      </c>
      <c r="H15" s="22" t="s">
        <v>34</v>
      </c>
      <c r="I15" s="23"/>
      <c r="J15" s="23"/>
      <c r="K15" s="23"/>
      <c r="L15" s="41" t="str">
        <f>VLOOKUP(C15,'LU CLASS'!$B$2:$E$26,4,FALSE)</f>
        <v>90-Settlement</v>
      </c>
      <c r="M15" s="47">
        <f>IF(G15=0,0,ROUND(_xlfn.T.INV.2T(1-setup!$F$2,10000)*G15/F15* 100, setup!$G$2))</f>
        <v>0</v>
      </c>
    </row>
    <row r="16" spans="1:13" x14ac:dyDescent="0.15">
      <c r="A16" s="7"/>
      <c r="B16" s="31" t="s">
        <v>35</v>
      </c>
      <c r="C16" s="31" t="s">
        <v>35</v>
      </c>
      <c r="D16" s="31" t="s">
        <v>126</v>
      </c>
      <c r="E16" s="31" t="s">
        <v>117</v>
      </c>
      <c r="F16" s="30">
        <v>0.47</v>
      </c>
      <c r="G16" s="30">
        <v>1.2999999999999999E-2</v>
      </c>
      <c r="H16" s="30" t="s">
        <v>34</v>
      </c>
      <c r="I16" s="7"/>
      <c r="J16" s="7"/>
      <c r="K16" s="7"/>
      <c r="L16" s="41" t="str">
        <f>VLOOKUP(C16,'LU CLASS'!$B$2:$E$26,4,FALSE)</f>
        <v>99-ALL</v>
      </c>
      <c r="M16" s="47">
        <f>IF(G16=0,0,ROUND(_xlfn.T.INV.2T(1-setup!$F$2,10000)*G16/F16* 100, setup!$G$2))</f>
        <v>4.55</v>
      </c>
    </row>
    <row r="17" spans="1:13" x14ac:dyDescent="0.15">
      <c r="A17" s="22">
        <v>32</v>
      </c>
      <c r="B17" s="32" t="s">
        <v>35</v>
      </c>
      <c r="C17" s="32" t="s">
        <v>81</v>
      </c>
      <c r="D17" s="32" t="s">
        <v>94</v>
      </c>
      <c r="E17" s="32" t="s">
        <v>117</v>
      </c>
      <c r="F17" s="23">
        <f>1-0.204</f>
        <v>0.79600000000000004</v>
      </c>
      <c r="G17" s="32">
        <v>0.128</v>
      </c>
      <c r="H17" s="32" t="s">
        <v>95</v>
      </c>
      <c r="I17" s="33">
        <f t="shared" ref="I17:I22" si="0">ROUND((F17*(1-F17)/(G17*G17)-1)*F17,2)</f>
        <v>7.09</v>
      </c>
      <c r="J17" s="33">
        <f t="shared" ref="J17:J22" si="1">ROUND((F17*(1-F17)/(G17*G17)-1)*(1-F17),2)</f>
        <v>1.82</v>
      </c>
      <c r="K17" s="23"/>
      <c r="L17" s="41" t="str">
        <f>VLOOKUP(C17,'LU CLASS'!$B$2:$E$26,4,FALSE)</f>
        <v>21-Tropical High Forest Degraded by other</v>
      </c>
      <c r="M17" s="47">
        <f>IF(G17=0,0,ROUND(_xlfn.T.INV.2T(1-setup!$F$2,10000)*G17/F17* 100, setup!$G$2))</f>
        <v>26.45</v>
      </c>
    </row>
    <row r="18" spans="1:13" x14ac:dyDescent="0.15">
      <c r="A18" s="22">
        <v>33</v>
      </c>
      <c r="B18" s="32" t="s">
        <v>35</v>
      </c>
      <c r="C18" s="32" t="s">
        <v>70</v>
      </c>
      <c r="D18" s="32" t="s">
        <v>94</v>
      </c>
      <c r="E18" s="32" t="s">
        <v>117</v>
      </c>
      <c r="F18" s="23">
        <f>1-0.108</f>
        <v>0.89200000000000002</v>
      </c>
      <c r="G18" s="32">
        <v>8.6999999999999994E-2</v>
      </c>
      <c r="H18" s="32" t="s">
        <v>95</v>
      </c>
      <c r="I18" s="33">
        <f t="shared" si="0"/>
        <v>10.46</v>
      </c>
      <c r="J18" s="33">
        <f t="shared" si="1"/>
        <v>1.27</v>
      </c>
      <c r="K18" s="23"/>
      <c r="L18" s="41" t="str">
        <f>VLOOKUP(C18,'LU CLASS'!$B$2:$E$26,4,FALSE)</f>
        <v>22-Tropical High Forest Degraded by logging</v>
      </c>
      <c r="M18" s="47">
        <f>IF(G18=0,0,ROUND(_xlfn.T.INV.2T(1-setup!$F$2,10000)*G18/F18* 100, setup!$G$2))</f>
        <v>16.04</v>
      </c>
    </row>
    <row r="19" spans="1:13" x14ac:dyDescent="0.15">
      <c r="A19" s="22">
        <v>28</v>
      </c>
      <c r="B19" s="32" t="s">
        <v>35</v>
      </c>
      <c r="C19" s="32" t="s">
        <v>79</v>
      </c>
      <c r="D19" s="32" t="s">
        <v>94</v>
      </c>
      <c r="E19" s="32" t="s">
        <v>117</v>
      </c>
      <c r="F19" s="23">
        <f>1-0.297</f>
        <v>0.70300000000000007</v>
      </c>
      <c r="G19" s="32">
        <v>0.13700000000000001</v>
      </c>
      <c r="H19" s="32" t="s">
        <v>95</v>
      </c>
      <c r="I19" s="33">
        <f t="shared" si="0"/>
        <v>7.12</v>
      </c>
      <c r="J19" s="33">
        <f t="shared" si="1"/>
        <v>3.01</v>
      </c>
      <c r="K19" s="23"/>
      <c r="L19" s="41" t="str">
        <f>VLOOKUP(C19,'LU CLASS'!$B$2:$E$26,4,FALSE)</f>
        <v>41-Woodlands_Degraded_by_fire</v>
      </c>
      <c r="M19" s="47">
        <f>IF(G19=0,0,ROUND(_xlfn.T.INV.2T(1-setup!$F$2,10000)*G19/F19* 100, setup!$G$2))</f>
        <v>32.06</v>
      </c>
    </row>
    <row r="20" spans="1:13" x14ac:dyDescent="0.15">
      <c r="A20" s="22">
        <v>29</v>
      </c>
      <c r="B20" s="32" t="s">
        <v>35</v>
      </c>
      <c r="C20" s="32" t="s">
        <v>73</v>
      </c>
      <c r="D20" s="32" t="s">
        <v>94</v>
      </c>
      <c r="E20" s="32" t="s">
        <v>117</v>
      </c>
      <c r="F20" s="23">
        <f>1-0.108</f>
        <v>0.89200000000000002</v>
      </c>
      <c r="G20" s="32">
        <v>8.6999999999999994E-2</v>
      </c>
      <c r="H20" s="32" t="s">
        <v>95</v>
      </c>
      <c r="I20" s="33">
        <f t="shared" si="0"/>
        <v>10.46</v>
      </c>
      <c r="J20" s="33">
        <f t="shared" si="1"/>
        <v>1.27</v>
      </c>
      <c r="K20" s="23"/>
      <c r="L20" s="41" t="str">
        <f>VLOOKUP(C20,'LU CLASS'!$B$2:$E$26,4,FALSE)</f>
        <v>42-Woodlands_Degraded_by_logging</v>
      </c>
      <c r="M20" s="47">
        <f>IF(G20=0,0,ROUND(_xlfn.T.INV.2T(1-setup!$F$2,10000)*G20/F20* 100, setup!$G$2))</f>
        <v>16.04</v>
      </c>
    </row>
    <row r="21" spans="1:13" x14ac:dyDescent="0.15">
      <c r="A21" s="22">
        <v>30</v>
      </c>
      <c r="B21" s="32" t="s">
        <v>35</v>
      </c>
      <c r="C21" s="32" t="s">
        <v>75</v>
      </c>
      <c r="D21" s="32" t="s">
        <v>94</v>
      </c>
      <c r="E21" s="32" t="s">
        <v>117</v>
      </c>
      <c r="F21" s="23">
        <f>1-0.108</f>
        <v>0.89200000000000002</v>
      </c>
      <c r="G21" s="32">
        <v>8.6999999999999994E-2</v>
      </c>
      <c r="H21" s="32" t="s">
        <v>95</v>
      </c>
      <c r="I21" s="33">
        <f t="shared" si="0"/>
        <v>10.46</v>
      </c>
      <c r="J21" s="33">
        <f t="shared" si="1"/>
        <v>1.27</v>
      </c>
      <c r="K21" s="23"/>
      <c r="L21" s="41" t="str">
        <f>VLOOKUP(C21,'LU CLASS'!$B$2:$E$26,4,FALSE)</f>
        <v>43-Woodlands_Degraded_by_charcoal</v>
      </c>
      <c r="M21" s="47">
        <f>IF(G21=0,0,ROUND(_xlfn.T.INV.2T(1-setup!$F$2,10000)*G21/F21* 100, setup!$G$2))</f>
        <v>16.04</v>
      </c>
    </row>
    <row r="22" spans="1:13" x14ac:dyDescent="0.15">
      <c r="A22" s="22">
        <v>31</v>
      </c>
      <c r="B22" s="32" t="s">
        <v>35</v>
      </c>
      <c r="C22" s="32" t="s">
        <v>77</v>
      </c>
      <c r="D22" s="32" t="s">
        <v>94</v>
      </c>
      <c r="E22" s="32" t="s">
        <v>117</v>
      </c>
      <c r="F22" s="23">
        <f>1-0.204</f>
        <v>0.79600000000000004</v>
      </c>
      <c r="G22" s="32">
        <v>0.128</v>
      </c>
      <c r="H22" s="32" t="s">
        <v>95</v>
      </c>
      <c r="I22" s="33">
        <f t="shared" si="0"/>
        <v>7.09</v>
      </c>
      <c r="J22" s="33">
        <f t="shared" si="1"/>
        <v>1.82</v>
      </c>
      <c r="K22" s="23"/>
      <c r="L22" s="41" t="str">
        <f>VLOOKUP(C22,'LU CLASS'!$B$2:$E$26,4,FALSE)</f>
        <v>44-Woodlands_Degraded_by_other</v>
      </c>
      <c r="M22" s="47">
        <f>IF(G22=0,0,ROUND(_xlfn.T.INV.2T(1-setup!$F$2,10000)*G22/F22* 100, setup!$G$2))</f>
        <v>26.45</v>
      </c>
    </row>
    <row r="23" spans="1:13" x14ac:dyDescent="0.15">
      <c r="A23" s="17">
        <v>15</v>
      </c>
      <c r="B23" s="7" t="s">
        <v>35</v>
      </c>
      <c r="C23" s="31" t="s">
        <v>61</v>
      </c>
      <c r="D23" s="7" t="s">
        <v>93</v>
      </c>
      <c r="E23" s="31" t="s">
        <v>117</v>
      </c>
      <c r="F23" s="7">
        <v>0.23200000000000001</v>
      </c>
      <c r="G23" s="7">
        <v>0.107</v>
      </c>
      <c r="H23" s="7" t="s">
        <v>34</v>
      </c>
      <c r="I23" s="7"/>
      <c r="J23" s="7"/>
      <c r="K23" s="7"/>
      <c r="L23" s="41" t="str">
        <f>VLOOKUP(C23,'LU CLASS'!$B$2:$E$26,4,FALSE)</f>
        <v>10-Tropical High Forest</v>
      </c>
      <c r="M23" s="47">
        <f>IF(G23=0,0,ROUND(_xlfn.T.INV.2T(1-setup!$F$2,10000)*G23/F23* 100, setup!$G$2))</f>
        <v>75.87</v>
      </c>
    </row>
    <row r="24" spans="1:13" x14ac:dyDescent="0.15">
      <c r="A24" s="17">
        <v>16</v>
      </c>
      <c r="B24" s="7" t="s">
        <v>35</v>
      </c>
      <c r="C24" s="31" t="s">
        <v>80</v>
      </c>
      <c r="D24" s="7" t="s">
        <v>93</v>
      </c>
      <c r="E24" s="31" t="s">
        <v>117</v>
      </c>
      <c r="F24" s="7">
        <v>0.23200000000000001</v>
      </c>
      <c r="G24" s="7">
        <v>0.107</v>
      </c>
      <c r="H24" s="7" t="s">
        <v>34</v>
      </c>
      <c r="I24" s="7"/>
      <c r="J24" s="7"/>
      <c r="K24" s="7"/>
      <c r="L24" s="41" t="str">
        <f>VLOOKUP(C24,'LU CLASS'!$B$2:$E$26,4,FALSE)</f>
        <v>11-Tropical High Forest</v>
      </c>
      <c r="M24" s="47">
        <f>IF(G24=0,0,ROUND(_xlfn.T.INV.2T(1-setup!$F$2,10000)*G24/F24* 100, setup!$G$2))</f>
        <v>75.87</v>
      </c>
    </row>
    <row r="25" spans="1:13" x14ac:dyDescent="0.15">
      <c r="A25" s="17">
        <v>17</v>
      </c>
      <c r="B25" s="7" t="s">
        <v>35</v>
      </c>
      <c r="C25" s="31" t="s">
        <v>69</v>
      </c>
      <c r="D25" s="7" t="s">
        <v>93</v>
      </c>
      <c r="E25" s="31" t="s">
        <v>117</v>
      </c>
      <c r="F25" s="7">
        <v>0.23200000000000001</v>
      </c>
      <c r="G25" s="7">
        <v>0.107</v>
      </c>
      <c r="H25" s="7" t="s">
        <v>34</v>
      </c>
      <c r="I25" s="7"/>
      <c r="J25" s="7"/>
      <c r="K25" s="7"/>
      <c r="L25" s="41" t="str">
        <f>VLOOKUP(C25,'LU CLASS'!$B$2:$E$26,4,FALSE)</f>
        <v>12-Tropical High Forest</v>
      </c>
      <c r="M25" s="47">
        <f>IF(G25=0,0,ROUND(_xlfn.T.INV.2T(1-setup!$F$2,10000)*G25/F25* 100, setup!$G$2))</f>
        <v>75.87</v>
      </c>
    </row>
    <row r="26" spans="1:13" x14ac:dyDescent="0.15">
      <c r="A26" s="17">
        <v>18</v>
      </c>
      <c r="B26" s="7" t="s">
        <v>35</v>
      </c>
      <c r="C26" s="7" t="s">
        <v>64</v>
      </c>
      <c r="D26" s="7" t="s">
        <v>93</v>
      </c>
      <c r="E26" s="31" t="s">
        <v>117</v>
      </c>
      <c r="F26" s="7">
        <v>0.33200000000000002</v>
      </c>
      <c r="G26" s="7">
        <v>0.247</v>
      </c>
      <c r="H26" s="7" t="s">
        <v>34</v>
      </c>
      <c r="I26" s="7"/>
      <c r="J26" s="7"/>
      <c r="K26" s="7"/>
      <c r="L26" s="41" t="str">
        <f>VLOOKUP(C26,'LU CLASS'!$B$2:$E$26,4,FALSE)</f>
        <v>30-Woodlands</v>
      </c>
      <c r="M26" s="47">
        <f>IF(G26=0,0,ROUND(_xlfn.T.INV.2T(1-setup!$F$2,10000)*G26/F26* 100, setup!$G$2))</f>
        <v>122.38</v>
      </c>
    </row>
    <row r="27" spans="1:13" x14ac:dyDescent="0.15">
      <c r="A27" s="17">
        <v>19</v>
      </c>
      <c r="B27" s="7" t="s">
        <v>35</v>
      </c>
      <c r="C27" s="7" t="s">
        <v>78</v>
      </c>
      <c r="D27" s="7" t="s">
        <v>93</v>
      </c>
      <c r="E27" s="31" t="s">
        <v>117</v>
      </c>
      <c r="F27" s="7">
        <v>0.33200000000000002</v>
      </c>
      <c r="G27" s="7">
        <v>0.247</v>
      </c>
      <c r="H27" s="7" t="s">
        <v>34</v>
      </c>
      <c r="I27" s="7"/>
      <c r="J27" s="7"/>
      <c r="K27" s="7"/>
      <c r="L27" s="41" t="str">
        <f>VLOOKUP(C27,'LU CLASS'!$B$2:$E$26,4,FALSE)</f>
        <v>31-Woodlands</v>
      </c>
      <c r="M27" s="47">
        <f>IF(G27=0,0,ROUND(_xlfn.T.INV.2T(1-setup!$F$2,10000)*G27/F27* 100, setup!$G$2))</f>
        <v>122.38</v>
      </c>
    </row>
    <row r="28" spans="1:13" x14ac:dyDescent="0.15">
      <c r="A28" s="17">
        <v>20</v>
      </c>
      <c r="B28" s="7" t="s">
        <v>35</v>
      </c>
      <c r="C28" s="7" t="s">
        <v>72</v>
      </c>
      <c r="D28" s="7" t="s">
        <v>93</v>
      </c>
      <c r="E28" s="31" t="s">
        <v>117</v>
      </c>
      <c r="F28" s="7">
        <v>0.33200000000000002</v>
      </c>
      <c r="G28" s="7">
        <v>0.247</v>
      </c>
      <c r="H28" s="7" t="s">
        <v>34</v>
      </c>
      <c r="I28" s="7"/>
      <c r="J28" s="7"/>
      <c r="K28" s="7"/>
      <c r="L28" s="41" t="str">
        <f>VLOOKUP(C28,'LU CLASS'!$B$2:$E$26,4,FALSE)</f>
        <v>32-Woodlands</v>
      </c>
      <c r="M28" s="47">
        <f>IF(G28=0,0,ROUND(_xlfn.T.INV.2T(1-setup!$F$2,10000)*G28/F28* 100, setup!$G$2))</f>
        <v>122.38</v>
      </c>
    </row>
    <row r="29" spans="1:13" x14ac:dyDescent="0.15">
      <c r="A29" s="17">
        <v>21</v>
      </c>
      <c r="B29" s="7" t="s">
        <v>35</v>
      </c>
      <c r="C29" s="7" t="s">
        <v>74</v>
      </c>
      <c r="D29" s="7" t="s">
        <v>93</v>
      </c>
      <c r="E29" s="31" t="s">
        <v>117</v>
      </c>
      <c r="F29" s="7">
        <v>0.33200000000000002</v>
      </c>
      <c r="G29" s="7">
        <v>0.247</v>
      </c>
      <c r="H29" s="7" t="s">
        <v>34</v>
      </c>
      <c r="I29" s="7"/>
      <c r="J29" s="7"/>
      <c r="K29" s="7"/>
      <c r="L29" s="41" t="str">
        <f>VLOOKUP(C29,'LU CLASS'!$B$2:$E$26,4,FALSE)</f>
        <v>33-Woodlands</v>
      </c>
      <c r="M29" s="47">
        <f>IF(G29=0,0,ROUND(_xlfn.T.INV.2T(1-setup!$F$2,10000)*G29/F29* 100, setup!$G$2))</f>
        <v>122.38</v>
      </c>
    </row>
    <row r="30" spans="1:13" x14ac:dyDescent="0.15">
      <c r="A30" s="17">
        <v>22</v>
      </c>
      <c r="B30" s="7" t="s">
        <v>35</v>
      </c>
      <c r="C30" s="7" t="s">
        <v>76</v>
      </c>
      <c r="D30" s="7" t="s">
        <v>93</v>
      </c>
      <c r="E30" s="31" t="s">
        <v>117</v>
      </c>
      <c r="F30" s="7">
        <v>0.33200000000000002</v>
      </c>
      <c r="G30" s="7">
        <v>0.247</v>
      </c>
      <c r="H30" s="7" t="s">
        <v>34</v>
      </c>
      <c r="I30" s="7"/>
      <c r="J30" s="7"/>
      <c r="K30" s="7"/>
      <c r="L30" s="41" t="str">
        <f>VLOOKUP(C30,'LU CLASS'!$B$2:$E$26,4,FALSE)</f>
        <v>34-Woodlands</v>
      </c>
      <c r="M30" s="47">
        <f>IF(G30=0,0,ROUND(_xlfn.T.INV.2T(1-setup!$F$2,10000)*G30/F30* 100, setup!$G$2))</f>
        <v>122.38</v>
      </c>
    </row>
    <row r="31" spans="1:13" x14ac:dyDescent="0.15">
      <c r="A31" s="17">
        <v>23</v>
      </c>
      <c r="B31" s="7" t="s">
        <v>35</v>
      </c>
      <c r="C31" s="17" t="s">
        <v>65</v>
      </c>
      <c r="D31" s="7" t="s">
        <v>93</v>
      </c>
      <c r="E31" s="31" t="s">
        <v>117</v>
      </c>
      <c r="F31" s="7">
        <v>0.23200000000000001</v>
      </c>
      <c r="G31" s="7">
        <v>0.107</v>
      </c>
      <c r="H31" s="7" t="s">
        <v>34</v>
      </c>
      <c r="I31" s="7"/>
      <c r="J31" s="7"/>
      <c r="K31" s="7"/>
      <c r="L31" s="41" t="str">
        <f>VLOOKUP(C31,'LU CLASS'!$B$2:$E$26,4,FALSE)</f>
        <v>51-Plantations commercial</v>
      </c>
      <c r="M31" s="47">
        <f>IF(G31=0,0,ROUND(_xlfn.T.INV.2T(1-setup!$F$2,10000)*G31/F31* 100, setup!$G$2))</f>
        <v>75.87</v>
      </c>
    </row>
    <row r="32" spans="1:13" x14ac:dyDescent="0.15">
      <c r="A32" s="17">
        <v>24</v>
      </c>
      <c r="B32" s="7" t="s">
        <v>35</v>
      </c>
      <c r="C32" s="17" t="s">
        <v>67</v>
      </c>
      <c r="D32" s="7" t="s">
        <v>93</v>
      </c>
      <c r="E32" s="31" t="s">
        <v>117</v>
      </c>
      <c r="F32" s="7">
        <v>0.23200000000000001</v>
      </c>
      <c r="G32" s="7">
        <v>0.107</v>
      </c>
      <c r="H32" s="7" t="s">
        <v>34</v>
      </c>
      <c r="I32" s="7"/>
      <c r="J32" s="7"/>
      <c r="K32" s="7"/>
      <c r="L32" s="41" t="str">
        <f>VLOOKUP(C32,'LU CLASS'!$B$2:$E$26,4,FALSE)</f>
        <v>52-Plantations non commercial</v>
      </c>
      <c r="M32" s="47">
        <f>IF(G32=0,0,ROUND(_xlfn.T.INV.2T(1-setup!$F$2,10000)*G32/F32* 100, setup!$G$2))</f>
        <v>75.87</v>
      </c>
    </row>
    <row r="33" spans="1:13" x14ac:dyDescent="0.15">
      <c r="A33" s="17">
        <v>25</v>
      </c>
      <c r="B33" s="7" t="s">
        <v>35</v>
      </c>
      <c r="C33" s="7" t="s">
        <v>68</v>
      </c>
      <c r="D33" s="7" t="s">
        <v>93</v>
      </c>
      <c r="E33" s="31" t="s">
        <v>117</v>
      </c>
      <c r="F33" s="7">
        <v>0.23200000000000001</v>
      </c>
      <c r="G33" s="7">
        <v>0.107</v>
      </c>
      <c r="H33" s="7" t="s">
        <v>34</v>
      </c>
      <c r="I33" s="7"/>
      <c r="J33" s="7"/>
      <c r="K33" s="7"/>
      <c r="L33" s="41" t="str">
        <f>VLOOKUP(C33,'LU CLASS'!$B$2:$E$26,4,FALSE)</f>
        <v>71-Cropland_perennial</v>
      </c>
      <c r="M33" s="47">
        <f>IF(G33=0,0,ROUND(_xlfn.T.INV.2T(1-setup!$F$2,10000)*G33/F33* 100, setup!$G$2))</f>
        <v>75.87</v>
      </c>
    </row>
    <row r="34" spans="1:13" x14ac:dyDescent="0.15">
      <c r="A34" s="17">
        <v>26</v>
      </c>
      <c r="B34" s="7" t="s">
        <v>35</v>
      </c>
      <c r="C34" s="7" t="s">
        <v>66</v>
      </c>
      <c r="D34" s="7" t="s">
        <v>93</v>
      </c>
      <c r="E34" s="31" t="s">
        <v>117</v>
      </c>
      <c r="F34" s="7">
        <v>0.23200000000000001</v>
      </c>
      <c r="G34" s="7">
        <v>0.107</v>
      </c>
      <c r="H34" s="7" t="s">
        <v>34</v>
      </c>
      <c r="I34" s="7"/>
      <c r="J34" s="7"/>
      <c r="K34" s="7"/>
      <c r="L34" s="41" t="str">
        <f>VLOOKUP(C34,'LU CLASS'!$B$2:$E$26,4,FALSE)</f>
        <v>72-Cropland_annual</v>
      </c>
      <c r="M34" s="47">
        <f>IF(G34=0,0,ROUND(_xlfn.T.INV.2T(1-setup!$F$2,10000)*G34/F34* 100, setup!$G$2))</f>
        <v>75.87</v>
      </c>
    </row>
    <row r="35" spans="1:13" x14ac:dyDescent="0.15">
      <c r="A35" s="17">
        <v>27</v>
      </c>
      <c r="B35" s="7" t="s">
        <v>35</v>
      </c>
      <c r="C35" s="7" t="s">
        <v>62</v>
      </c>
      <c r="D35" s="7" t="s">
        <v>93</v>
      </c>
      <c r="E35" s="31" t="s">
        <v>117</v>
      </c>
      <c r="F35" s="7">
        <v>0.33200000000000002</v>
      </c>
      <c r="G35" s="7">
        <v>0.247</v>
      </c>
      <c r="H35" s="7" t="s">
        <v>34</v>
      </c>
      <c r="I35" s="7"/>
      <c r="J35" s="7"/>
      <c r="K35" s="7"/>
      <c r="L35" s="41" t="str">
        <f>VLOOKUP(C35,'LU CLASS'!$B$2:$E$26,4,FALSE)</f>
        <v>80-Grassland</v>
      </c>
      <c r="M35" s="47">
        <f>IF(G35=0,0,ROUND(_xlfn.T.INV.2T(1-setup!$F$2,10000)*G35/F35* 100, setup!$G$2))</f>
        <v>122.38</v>
      </c>
    </row>
  </sheetData>
  <autoFilter ref="A1:K35" xr:uid="{00000000-0001-0000-0400-000000000000}">
    <sortState xmlns:xlrd2="http://schemas.microsoft.com/office/spreadsheetml/2017/richdata2" ref="A2:K35">
      <sortCondition ref="D1:D35"/>
    </sortState>
  </autoFilter>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FB28E-5156-460C-8DA6-CBBD554E8CA0}">
  <dimension ref="A1:E26"/>
  <sheetViews>
    <sheetView zoomScale="130" zoomScaleNormal="130" workbookViewId="0">
      <selection activeCell="C32" sqref="C32"/>
    </sheetView>
  </sheetViews>
  <sheetFormatPr baseColWidth="10" defaultColWidth="8.83203125" defaultRowHeight="13" x14ac:dyDescent="0.15"/>
  <cols>
    <col min="1" max="1" width="5" customWidth="1"/>
    <col min="2" max="2" width="14.6640625" customWidth="1"/>
    <col min="3" max="3" width="34" customWidth="1"/>
    <col min="4" max="4" width="17" customWidth="1"/>
    <col min="5" max="5" width="36.33203125" bestFit="1" customWidth="1"/>
    <col min="6" max="6" width="12.83203125" bestFit="1" customWidth="1"/>
    <col min="7" max="7" width="33.83203125" bestFit="1" customWidth="1"/>
  </cols>
  <sheetData>
    <row r="1" spans="1:5" x14ac:dyDescent="0.15">
      <c r="A1" s="35" t="s">
        <v>122</v>
      </c>
      <c r="B1" s="35" t="s">
        <v>119</v>
      </c>
      <c r="C1" s="35" t="s">
        <v>120</v>
      </c>
      <c r="D1" s="35" t="s">
        <v>121</v>
      </c>
      <c r="E1" s="35" t="s">
        <v>123</v>
      </c>
    </row>
    <row r="2" spans="1:5" x14ac:dyDescent="0.15">
      <c r="A2">
        <v>10</v>
      </c>
      <c r="B2" s="8" t="s">
        <v>61</v>
      </c>
      <c r="C2" s="9" t="s">
        <v>98</v>
      </c>
      <c r="D2" t="str">
        <f>A2&amp;"-"&amp;B2</f>
        <v>10-THF</v>
      </c>
      <c r="E2" t="str">
        <f>A2&amp;"-"&amp;C2</f>
        <v>10-Tropical High Forest</v>
      </c>
    </row>
    <row r="3" spans="1:5" x14ac:dyDescent="0.15">
      <c r="A3">
        <v>11</v>
      </c>
      <c r="B3" s="7" t="s">
        <v>80</v>
      </c>
      <c r="C3" t="s">
        <v>98</v>
      </c>
      <c r="D3" t="str">
        <f t="shared" ref="D3:D26" si="0">A3&amp;"-"&amp;B3</f>
        <v>11-THF_otha</v>
      </c>
      <c r="E3" t="str">
        <f t="shared" ref="E3:E26" si="1">A3&amp;"-"&amp;C3</f>
        <v>11-Tropical High Forest</v>
      </c>
    </row>
    <row r="4" spans="1:5" x14ac:dyDescent="0.15">
      <c r="A4">
        <v>12</v>
      </c>
      <c r="B4" s="7" t="s">
        <v>69</v>
      </c>
      <c r="C4" t="s">
        <v>98</v>
      </c>
      <c r="D4" t="str">
        <f t="shared" si="0"/>
        <v>12-THF_log</v>
      </c>
      <c r="E4" t="str">
        <f t="shared" si="1"/>
        <v>12-Tropical High Forest</v>
      </c>
    </row>
    <row r="5" spans="1:5" x14ac:dyDescent="0.15">
      <c r="A5">
        <v>20</v>
      </c>
      <c r="B5" s="8" t="s">
        <v>118</v>
      </c>
      <c r="C5" s="9" t="s">
        <v>100</v>
      </c>
      <c r="D5" t="str">
        <f t="shared" si="0"/>
        <v>20-THF_deg</v>
      </c>
      <c r="E5" t="str">
        <f t="shared" si="1"/>
        <v>20-Tropical High Forest Degraded</v>
      </c>
    </row>
    <row r="6" spans="1:5" x14ac:dyDescent="0.15">
      <c r="A6">
        <v>21</v>
      </c>
      <c r="B6" s="5" t="s">
        <v>81</v>
      </c>
      <c r="C6" t="s">
        <v>115</v>
      </c>
      <c r="D6" t="str">
        <f t="shared" si="0"/>
        <v>21-THF_otha_deg</v>
      </c>
      <c r="E6" t="str">
        <f t="shared" si="1"/>
        <v>21-Tropical High Forest Degraded by other</v>
      </c>
    </row>
    <row r="7" spans="1:5" x14ac:dyDescent="0.15">
      <c r="A7">
        <v>22</v>
      </c>
      <c r="B7" s="5" t="s">
        <v>70</v>
      </c>
      <c r="C7" t="s">
        <v>116</v>
      </c>
      <c r="D7" t="str">
        <f t="shared" si="0"/>
        <v>22-THF_log_deg</v>
      </c>
      <c r="E7" t="str">
        <f t="shared" si="1"/>
        <v>22-Tropical High Forest Degraded by logging</v>
      </c>
    </row>
    <row r="8" spans="1:5" x14ac:dyDescent="0.15">
      <c r="A8">
        <v>30</v>
      </c>
      <c r="B8" s="8" t="s">
        <v>64</v>
      </c>
      <c r="C8" s="9" t="s">
        <v>99</v>
      </c>
      <c r="D8" t="str">
        <f t="shared" si="0"/>
        <v>30-WD</v>
      </c>
      <c r="E8" t="str">
        <f t="shared" si="1"/>
        <v>30-Woodlands</v>
      </c>
    </row>
    <row r="9" spans="1:5" x14ac:dyDescent="0.15">
      <c r="A9">
        <v>31</v>
      </c>
      <c r="B9" t="s">
        <v>78</v>
      </c>
      <c r="C9" t="s">
        <v>99</v>
      </c>
      <c r="D9" t="str">
        <f t="shared" si="0"/>
        <v>31-WD_fire</v>
      </c>
      <c r="E9" t="str">
        <f t="shared" si="1"/>
        <v>31-Woodlands</v>
      </c>
    </row>
    <row r="10" spans="1:5" x14ac:dyDescent="0.15">
      <c r="A10">
        <v>32</v>
      </c>
      <c r="B10" t="s">
        <v>72</v>
      </c>
      <c r="C10" t="s">
        <v>99</v>
      </c>
      <c r="D10" t="str">
        <f t="shared" si="0"/>
        <v>32-WD_log</v>
      </c>
      <c r="E10" t="str">
        <f t="shared" si="1"/>
        <v>32-Woodlands</v>
      </c>
    </row>
    <row r="11" spans="1:5" x14ac:dyDescent="0.15">
      <c r="A11">
        <v>33</v>
      </c>
      <c r="B11" t="s">
        <v>74</v>
      </c>
      <c r="C11" t="s">
        <v>99</v>
      </c>
      <c r="D11" t="str">
        <f t="shared" si="0"/>
        <v>33-WD_charc</v>
      </c>
      <c r="E11" t="str">
        <f t="shared" si="1"/>
        <v>33-Woodlands</v>
      </c>
    </row>
    <row r="12" spans="1:5" x14ac:dyDescent="0.15">
      <c r="A12">
        <v>34</v>
      </c>
      <c r="B12" t="s">
        <v>76</v>
      </c>
      <c r="C12" t="s">
        <v>99</v>
      </c>
      <c r="D12" t="str">
        <f t="shared" si="0"/>
        <v>34-WD_other</v>
      </c>
      <c r="E12" t="str">
        <f t="shared" si="1"/>
        <v>34-Woodlands</v>
      </c>
    </row>
    <row r="13" spans="1:5" x14ac:dyDescent="0.15">
      <c r="A13">
        <v>40</v>
      </c>
      <c r="B13" s="8" t="s">
        <v>101</v>
      </c>
      <c r="C13" s="9" t="s">
        <v>102</v>
      </c>
      <c r="D13" t="str">
        <f t="shared" si="0"/>
        <v>40-WD_deg</v>
      </c>
      <c r="E13" t="str">
        <f t="shared" si="1"/>
        <v>40-Woodlands_Degraded</v>
      </c>
    </row>
    <row r="14" spans="1:5" x14ac:dyDescent="0.15">
      <c r="A14">
        <v>41</v>
      </c>
      <c r="B14" s="8" t="s">
        <v>79</v>
      </c>
      <c r="C14" s="9" t="s">
        <v>109</v>
      </c>
      <c r="D14" t="str">
        <f t="shared" si="0"/>
        <v>41-WD_fire_deg</v>
      </c>
      <c r="E14" t="str">
        <f t="shared" si="1"/>
        <v>41-Woodlands_Degraded_by_fire</v>
      </c>
    </row>
    <row r="15" spans="1:5" x14ac:dyDescent="0.15">
      <c r="A15">
        <v>42</v>
      </c>
      <c r="B15" t="s">
        <v>73</v>
      </c>
      <c r="C15" t="s">
        <v>110</v>
      </c>
      <c r="D15" t="str">
        <f t="shared" si="0"/>
        <v>42-WD_log_deg</v>
      </c>
      <c r="E15" t="str">
        <f t="shared" si="1"/>
        <v>42-Woodlands_Degraded_by_logging</v>
      </c>
    </row>
    <row r="16" spans="1:5" x14ac:dyDescent="0.15">
      <c r="A16">
        <v>43</v>
      </c>
      <c r="B16" t="s">
        <v>75</v>
      </c>
      <c r="C16" t="s">
        <v>111</v>
      </c>
      <c r="D16" t="str">
        <f t="shared" si="0"/>
        <v>43-WD_charc_deg</v>
      </c>
      <c r="E16" t="str">
        <f t="shared" si="1"/>
        <v>43-Woodlands_Degraded_by_charcoal</v>
      </c>
    </row>
    <row r="17" spans="1:5" x14ac:dyDescent="0.15">
      <c r="A17">
        <v>44</v>
      </c>
      <c r="B17" t="s">
        <v>77</v>
      </c>
      <c r="C17" t="s">
        <v>112</v>
      </c>
      <c r="D17" t="str">
        <f t="shared" si="0"/>
        <v>44-WD_other_deg</v>
      </c>
      <c r="E17" t="str">
        <f t="shared" si="1"/>
        <v>44-Woodlands_Degraded_by_other</v>
      </c>
    </row>
    <row r="18" spans="1:5" x14ac:dyDescent="0.15">
      <c r="A18">
        <v>51</v>
      </c>
      <c r="B18" s="8" t="s">
        <v>65</v>
      </c>
      <c r="C18" s="9" t="s">
        <v>96</v>
      </c>
      <c r="D18" t="str">
        <f t="shared" si="0"/>
        <v>51-FPc</v>
      </c>
      <c r="E18" t="str">
        <f t="shared" si="1"/>
        <v>51-Plantations commercial</v>
      </c>
    </row>
    <row r="19" spans="1:5" x14ac:dyDescent="0.15">
      <c r="A19">
        <v>52</v>
      </c>
      <c r="B19" s="8" t="s">
        <v>67</v>
      </c>
      <c r="C19" s="9" t="s">
        <v>97</v>
      </c>
      <c r="D19" t="str">
        <f t="shared" si="0"/>
        <v>52-FPnc</v>
      </c>
      <c r="E19" t="str">
        <f t="shared" si="1"/>
        <v>52-Plantations non commercial</v>
      </c>
    </row>
    <row r="20" spans="1:5" x14ac:dyDescent="0.15">
      <c r="A20">
        <v>60</v>
      </c>
      <c r="B20" s="8" t="s">
        <v>103</v>
      </c>
      <c r="C20" s="9" t="s">
        <v>104</v>
      </c>
      <c r="D20" t="str">
        <f t="shared" si="0"/>
        <v>60-NF</v>
      </c>
      <c r="E20" t="str">
        <f t="shared" si="1"/>
        <v>60-Non Forest</v>
      </c>
    </row>
    <row r="21" spans="1:5" x14ac:dyDescent="0.15">
      <c r="A21">
        <v>70</v>
      </c>
      <c r="B21" s="8" t="s">
        <v>105</v>
      </c>
      <c r="C21" s="9" t="s">
        <v>106</v>
      </c>
      <c r="D21" t="str">
        <f t="shared" si="0"/>
        <v>70-CP</v>
      </c>
      <c r="E21" t="str">
        <f t="shared" si="1"/>
        <v>70-Cropland</v>
      </c>
    </row>
    <row r="22" spans="1:5" x14ac:dyDescent="0.15">
      <c r="A22">
        <v>71</v>
      </c>
      <c r="B22" t="s">
        <v>68</v>
      </c>
      <c r="C22" t="s">
        <v>113</v>
      </c>
      <c r="D22" t="str">
        <f t="shared" si="0"/>
        <v>71-CP_p</v>
      </c>
      <c r="E22" t="str">
        <f t="shared" si="1"/>
        <v>71-Cropland_perennial</v>
      </c>
    </row>
    <row r="23" spans="1:5" x14ac:dyDescent="0.15">
      <c r="A23">
        <v>72</v>
      </c>
      <c r="B23" t="s">
        <v>66</v>
      </c>
      <c r="C23" t="s">
        <v>114</v>
      </c>
      <c r="D23" t="str">
        <f t="shared" si="0"/>
        <v>72-CP_a</v>
      </c>
      <c r="E23" t="str">
        <f t="shared" si="1"/>
        <v>72-Cropland_annual</v>
      </c>
    </row>
    <row r="24" spans="1:5" x14ac:dyDescent="0.15">
      <c r="A24">
        <v>80</v>
      </c>
      <c r="B24" s="8" t="s">
        <v>62</v>
      </c>
      <c r="C24" s="9" t="s">
        <v>107</v>
      </c>
      <c r="D24" t="str">
        <f t="shared" si="0"/>
        <v>80-GL</v>
      </c>
      <c r="E24" t="str">
        <f t="shared" si="1"/>
        <v>80-Grassland</v>
      </c>
    </row>
    <row r="25" spans="1:5" x14ac:dyDescent="0.15">
      <c r="A25">
        <v>90</v>
      </c>
      <c r="B25" s="8" t="s">
        <v>82</v>
      </c>
      <c r="C25" s="9" t="s">
        <v>108</v>
      </c>
      <c r="D25" t="str">
        <f t="shared" si="0"/>
        <v>90-Set</v>
      </c>
      <c r="E25" t="str">
        <f t="shared" si="1"/>
        <v>90-Settlement</v>
      </c>
    </row>
    <row r="26" spans="1:5" x14ac:dyDescent="0.15">
      <c r="A26">
        <v>99</v>
      </c>
      <c r="B26" s="5" t="s">
        <v>35</v>
      </c>
      <c r="C26" s="5" t="s">
        <v>35</v>
      </c>
      <c r="D26" t="str">
        <f t="shared" si="0"/>
        <v>99-ALL</v>
      </c>
      <c r="E26" t="str">
        <f t="shared" si="1"/>
        <v>99-ALL</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DB177-5D59-A749-9C66-5BCAEBBC730F}">
  <dimension ref="A3:AH26"/>
  <sheetViews>
    <sheetView topLeftCell="C1" zoomScale="130" zoomScaleNormal="130" workbookViewId="0">
      <selection activeCell="H5" sqref="C5:L26"/>
      <pivotSelection pane="bottomRight" showHeader="1" extendable="1" axis="axisCol" dimension="1" start="5" min="4" max="6" activeRow="4" activeCol="7" previousRow="4" previousCol="6" click="1" r:id="rId1">
        <pivotArea dataOnly="0" outline="0" axis="axisCol" fieldPosition="0">
          <references count="1">
            <reference field="4294967294" count="2">
              <x v="0"/>
              <x v="1"/>
            </reference>
          </references>
        </pivotArea>
      </pivotSelection>
    </sheetView>
  </sheetViews>
  <sheetFormatPr baseColWidth="10" defaultRowHeight="13" x14ac:dyDescent="0.15"/>
  <cols>
    <col min="1" max="1" width="16.83203125" bestFit="1" customWidth="1"/>
    <col min="2" max="2" width="13" bestFit="1" customWidth="1"/>
    <col min="3" max="12" width="17.6640625" bestFit="1" customWidth="1"/>
    <col min="13" max="13" width="15.83203125" bestFit="1" customWidth="1"/>
    <col min="14" max="14" width="6.1640625" bestFit="1" customWidth="1"/>
    <col min="15" max="15" width="13" bestFit="1" customWidth="1"/>
    <col min="16" max="16" width="13.1640625" bestFit="1" customWidth="1"/>
    <col min="17" max="17" width="17" bestFit="1" customWidth="1"/>
    <col min="18" max="18" width="13.1640625" bestFit="1" customWidth="1"/>
    <col min="19" max="19" width="17" bestFit="1" customWidth="1"/>
    <col min="20" max="20" width="13.1640625" bestFit="1" customWidth="1"/>
    <col min="21" max="21" width="17" bestFit="1" customWidth="1"/>
    <col min="22" max="22" width="13.1640625" bestFit="1" customWidth="1"/>
    <col min="23" max="23" width="17" bestFit="1" customWidth="1"/>
    <col min="24" max="24" width="13.1640625" bestFit="1" customWidth="1"/>
    <col min="25" max="25" width="17" bestFit="1" customWidth="1"/>
    <col min="26" max="26" width="11.5" bestFit="1" customWidth="1"/>
    <col min="27" max="27" width="5.6640625" bestFit="1" customWidth="1"/>
    <col min="28" max="28" width="11" bestFit="1" customWidth="1"/>
    <col min="29" max="29" width="11.83203125" bestFit="1" customWidth="1"/>
    <col min="30" max="30" width="11.83203125" customWidth="1"/>
    <col min="31" max="31" width="16.33203125" bestFit="1" customWidth="1"/>
    <col min="32" max="32" width="15.6640625" bestFit="1" customWidth="1"/>
    <col min="33" max="33" width="10.5" customWidth="1"/>
    <col min="34" max="34" width="5.6640625" customWidth="1"/>
    <col min="35" max="35" width="16.33203125" bestFit="1" customWidth="1"/>
  </cols>
  <sheetData>
    <row r="3" spans="1:34" x14ac:dyDescent="0.15">
      <c r="C3" s="36" t="s">
        <v>85</v>
      </c>
      <c r="D3" s="36" t="s">
        <v>135</v>
      </c>
    </row>
    <row r="4" spans="1:34" x14ac:dyDescent="0.15">
      <c r="C4" t="s">
        <v>92</v>
      </c>
      <c r="D4" t="s">
        <v>92</v>
      </c>
      <c r="E4" t="s">
        <v>35</v>
      </c>
      <c r="F4" t="s">
        <v>35</v>
      </c>
      <c r="G4" t="s">
        <v>126</v>
      </c>
      <c r="H4" t="s">
        <v>126</v>
      </c>
      <c r="I4" t="s">
        <v>94</v>
      </c>
      <c r="J4" t="s">
        <v>94</v>
      </c>
      <c r="K4" t="s">
        <v>93</v>
      </c>
      <c r="L4" t="s">
        <v>93</v>
      </c>
      <c r="N4">
        <f>A4</f>
        <v>0</v>
      </c>
      <c r="O4">
        <f t="shared" ref="O4:Y4" si="0">B4</f>
        <v>0</v>
      </c>
      <c r="P4" t="str">
        <f t="shared" si="0"/>
        <v>AGB</v>
      </c>
      <c r="Q4" t="str">
        <f t="shared" si="0"/>
        <v>AGB</v>
      </c>
      <c r="R4" t="str">
        <f t="shared" si="0"/>
        <v>ALL</v>
      </c>
      <c r="S4" t="str">
        <f t="shared" si="0"/>
        <v>ALL</v>
      </c>
      <c r="T4" t="str">
        <f t="shared" si="0"/>
        <v>CF</v>
      </c>
      <c r="U4" t="str">
        <f t="shared" si="0"/>
        <v>CF</v>
      </c>
      <c r="V4" t="str">
        <f t="shared" si="0"/>
        <v>DG_ratio</v>
      </c>
      <c r="W4" t="str">
        <f t="shared" si="0"/>
        <v>DG_ratio</v>
      </c>
      <c r="X4" t="str">
        <f t="shared" si="0"/>
        <v>RS</v>
      </c>
      <c r="Y4" t="str">
        <f t="shared" si="0"/>
        <v>RS</v>
      </c>
    </row>
    <row r="5" spans="1:34" x14ac:dyDescent="0.15">
      <c r="A5" s="36" t="s">
        <v>84</v>
      </c>
      <c r="B5" s="36" t="s">
        <v>124</v>
      </c>
      <c r="C5" t="s">
        <v>134</v>
      </c>
      <c r="D5" t="s">
        <v>140</v>
      </c>
      <c r="E5" t="s">
        <v>134</v>
      </c>
      <c r="F5" t="s">
        <v>140</v>
      </c>
      <c r="G5" t="s">
        <v>134</v>
      </c>
      <c r="H5" t="s">
        <v>140</v>
      </c>
      <c r="I5" t="s">
        <v>134</v>
      </c>
      <c r="J5" t="s">
        <v>140</v>
      </c>
      <c r="K5" t="s">
        <v>134</v>
      </c>
      <c r="L5" t="s">
        <v>140</v>
      </c>
      <c r="N5" t="str">
        <f t="shared" ref="N5:N26" si="1">A5</f>
        <v>c_period</v>
      </c>
      <c r="O5" t="str">
        <f t="shared" ref="O5:O26" si="2">B5</f>
        <v>c_lu</v>
      </c>
      <c r="P5" t="str">
        <f t="shared" ref="P5:P26" si="3">C5</f>
        <v>Sum of c_value</v>
      </c>
      <c r="Q5" t="str">
        <f t="shared" ref="Q5:Q26" si="4">D5</f>
        <v>Sum of opt_c_uperc</v>
      </c>
      <c r="R5" t="str">
        <f t="shared" ref="R5:R26" si="5">E5</f>
        <v>Sum of c_value</v>
      </c>
      <c r="S5" t="str">
        <f t="shared" ref="S5:S26" si="6">F5</f>
        <v>Sum of opt_c_uperc</v>
      </c>
      <c r="T5" t="str">
        <f t="shared" ref="T5:T26" si="7">G5</f>
        <v>Sum of c_value</v>
      </c>
      <c r="U5" t="str">
        <f t="shared" ref="U5:U26" si="8">H5</f>
        <v>Sum of opt_c_uperc</v>
      </c>
      <c r="V5" t="str">
        <f t="shared" ref="V5:V26" si="9">I5</f>
        <v>Sum of c_value</v>
      </c>
      <c r="W5" t="str">
        <f t="shared" ref="W5:W26" si="10">J5</f>
        <v>Sum of opt_c_uperc</v>
      </c>
      <c r="X5" t="str">
        <f t="shared" ref="X5:X26" si="11">K5</f>
        <v>Sum of c_value</v>
      </c>
      <c r="Y5" t="str">
        <f t="shared" ref="Y5:Y26" si="12">L5</f>
        <v>Sum of opt_c_uperc</v>
      </c>
      <c r="Z5" s="5" t="s">
        <v>136</v>
      </c>
      <c r="AA5" s="5" t="s">
        <v>141</v>
      </c>
      <c r="AB5" s="5" t="s">
        <v>143</v>
      </c>
      <c r="AC5" s="5" t="s">
        <v>144</v>
      </c>
      <c r="AD5" s="5" t="s">
        <v>145</v>
      </c>
      <c r="AE5" s="5" t="s">
        <v>146</v>
      </c>
      <c r="AF5" s="5" t="s">
        <v>137</v>
      </c>
      <c r="AG5" s="5" t="s">
        <v>142</v>
      </c>
      <c r="AH5" s="5"/>
    </row>
    <row r="6" spans="1:34" x14ac:dyDescent="0.15">
      <c r="A6" t="s">
        <v>35</v>
      </c>
      <c r="B6" t="s">
        <v>35</v>
      </c>
      <c r="D6" s="38"/>
      <c r="F6" s="38"/>
      <c r="G6">
        <v>0.47</v>
      </c>
      <c r="H6" s="38">
        <v>4.55002</v>
      </c>
      <c r="J6" s="38"/>
      <c r="L6" s="38"/>
      <c r="N6" t="str">
        <f t="shared" si="1"/>
        <v>ALL</v>
      </c>
      <c r="O6" t="str">
        <f t="shared" si="2"/>
        <v>ALL</v>
      </c>
      <c r="P6">
        <f t="shared" si="3"/>
        <v>0</v>
      </c>
      <c r="Q6">
        <f t="shared" si="4"/>
        <v>0</v>
      </c>
      <c r="R6">
        <f t="shared" si="5"/>
        <v>0</v>
      </c>
      <c r="S6">
        <f t="shared" si="6"/>
        <v>0</v>
      </c>
      <c r="T6">
        <f t="shared" si="7"/>
        <v>0.47</v>
      </c>
      <c r="U6">
        <f t="shared" si="8"/>
        <v>4.55002</v>
      </c>
      <c r="V6">
        <f t="shared" si="9"/>
        <v>0</v>
      </c>
      <c r="W6">
        <f t="shared" si="10"/>
        <v>0</v>
      </c>
      <c r="X6">
        <f t="shared" si="11"/>
        <v>0</v>
      </c>
      <c r="Y6">
        <f t="shared" si="12"/>
        <v>0</v>
      </c>
    </row>
    <row r="7" spans="1:34" x14ac:dyDescent="0.15">
      <c r="A7" t="s">
        <v>35</v>
      </c>
      <c r="B7" t="s">
        <v>66</v>
      </c>
      <c r="C7">
        <v>8.1199999999999992</v>
      </c>
      <c r="D7" s="38">
        <v>77.590800000000002</v>
      </c>
      <c r="F7" s="38"/>
      <c r="H7" s="38"/>
      <c r="J7" s="38"/>
      <c r="K7">
        <v>0.23200000000000001</v>
      </c>
      <c r="L7" s="38">
        <v>75.868809999999996</v>
      </c>
      <c r="N7" t="str">
        <f t="shared" si="1"/>
        <v>ALL</v>
      </c>
      <c r="O7" t="str">
        <f t="shared" si="2"/>
        <v>CP_a</v>
      </c>
      <c r="P7">
        <f t="shared" si="3"/>
        <v>8.1199999999999992</v>
      </c>
      <c r="Q7">
        <f t="shared" si="4"/>
        <v>77.590800000000002</v>
      </c>
      <c r="R7">
        <f t="shared" si="5"/>
        <v>0</v>
      </c>
      <c r="S7">
        <f t="shared" si="6"/>
        <v>0</v>
      </c>
      <c r="T7">
        <f t="shared" si="7"/>
        <v>0</v>
      </c>
      <c r="U7">
        <f t="shared" si="8"/>
        <v>0</v>
      </c>
      <c r="V7">
        <f t="shared" si="9"/>
        <v>0</v>
      </c>
      <c r="W7">
        <f t="shared" si="10"/>
        <v>0</v>
      </c>
      <c r="X7">
        <f t="shared" si="11"/>
        <v>0.23200000000000001</v>
      </c>
      <c r="Y7">
        <f t="shared" si="12"/>
        <v>75.868809999999996</v>
      </c>
      <c r="Z7">
        <f>ROUND($T$6*P7*(1+X7),setup!$G$2)</f>
        <v>4.7</v>
      </c>
      <c r="AA7">
        <f>ROUND(SQRT(U6^2+Q7^2+X7/(1+X7)*Y7^2),setup!$G$2)</f>
        <v>84.41</v>
      </c>
      <c r="AB7" t="str">
        <f>REPLACE(REPLACE(setup!$C$2, 1, 1, ""), LEN(setup!$C$2)-1, 1, "")</f>
        <v>_deg</v>
      </c>
      <c r="AC7" t="b">
        <f>ISNUMBER(FIND(REPLACE(REPLACE(setup!$C$2, 1, 1, ""), LEN(setup!$C$2)-1, 1, ""),O7))</f>
        <v>0</v>
      </c>
      <c r="AD7" t="str">
        <f>IF(AC7, SUBSTITUTE(O7,AB7, ""),"-")</f>
        <v>-</v>
      </c>
      <c r="AE7" t="str">
        <f t="shared" ref="AE7:AE26" si="13">O7</f>
        <v>CP_a</v>
      </c>
      <c r="AF7" s="38">
        <f>IF(AD7="-", Z7,ROUND(V7*VLOOKUP(AD7,$O$6:$AA$26,12, FALSE), setup!$G$2))</f>
        <v>4.7</v>
      </c>
      <c r="AG7" s="39">
        <f>IF(AD7="-", AA7,ROUND(SQRT(W7^2+VLOOKUP(AD7,$O$6:$AA$26,13, FALSE)^2), setup!$G$2))</f>
        <v>84.41</v>
      </c>
    </row>
    <row r="8" spans="1:34" x14ac:dyDescent="0.15">
      <c r="A8" t="s">
        <v>35</v>
      </c>
      <c r="B8" t="s">
        <v>68</v>
      </c>
      <c r="C8">
        <v>5.9</v>
      </c>
      <c r="D8" s="38">
        <v>31.89639</v>
      </c>
      <c r="F8" s="38"/>
      <c r="H8" s="38"/>
      <c r="J8" s="38"/>
      <c r="K8">
        <v>0.23200000000000001</v>
      </c>
      <c r="L8" s="38">
        <v>75.868809999999996</v>
      </c>
      <c r="N8" t="str">
        <f t="shared" si="1"/>
        <v>ALL</v>
      </c>
      <c r="O8" t="str">
        <f t="shared" si="2"/>
        <v>CP_p</v>
      </c>
      <c r="P8">
        <f t="shared" si="3"/>
        <v>5.9</v>
      </c>
      <c r="Q8">
        <f t="shared" si="4"/>
        <v>31.89639</v>
      </c>
      <c r="R8">
        <f t="shared" si="5"/>
        <v>0</v>
      </c>
      <c r="S8">
        <f t="shared" si="6"/>
        <v>0</v>
      </c>
      <c r="T8">
        <f t="shared" si="7"/>
        <v>0</v>
      </c>
      <c r="U8">
        <f t="shared" si="8"/>
        <v>0</v>
      </c>
      <c r="V8">
        <f t="shared" si="9"/>
        <v>0</v>
      </c>
      <c r="W8">
        <f t="shared" si="10"/>
        <v>0</v>
      </c>
      <c r="X8">
        <f t="shared" si="11"/>
        <v>0.23200000000000001</v>
      </c>
      <c r="Y8">
        <f t="shared" si="12"/>
        <v>75.868809999999996</v>
      </c>
      <c r="Z8">
        <f>ROUND($T$6*P8*(1+X8),setup!$G$2)</f>
        <v>3.42</v>
      </c>
      <c r="AA8">
        <f>ROUND(SQRT(U7^2+Q8^2+X8/(1+X8)*Y8^2),setup!$G$2)</f>
        <v>45.84</v>
      </c>
      <c r="AB8" t="str">
        <f>REPLACE(REPLACE(setup!$C$2, 1, 1, ""), LEN(setup!$C$2)-1, 1, "")</f>
        <v>_deg</v>
      </c>
      <c r="AC8" t="b">
        <f>ISNUMBER(FIND(REPLACE(REPLACE(setup!$C$2, 1, 1, ""), LEN(setup!$C$2)-1, 1, ""),O8))</f>
        <v>0</v>
      </c>
      <c r="AD8" t="str">
        <f t="shared" ref="AD8:AD26" si="14">IF(AC8, SUBSTITUTE(O8,AB8, ""),"-")</f>
        <v>-</v>
      </c>
      <c r="AE8" t="str">
        <f t="shared" si="13"/>
        <v>CP_p</v>
      </c>
      <c r="AF8" s="38">
        <f>IF(AD8="-", Z8,ROUND(V8*VLOOKUP(AD8,$O$6:$AA$26,12, FALSE), setup!$G$2))</f>
        <v>3.42</v>
      </c>
      <c r="AG8" s="39">
        <f>IF(AD8="-", AA8,ROUND(SQRT(W8^2+VLOOKUP(AD8,$O$6:$AA$26,13, FALSE)^2), setup!$G$2))</f>
        <v>45.84</v>
      </c>
    </row>
    <row r="9" spans="1:34" x14ac:dyDescent="0.15">
      <c r="A9" t="s">
        <v>35</v>
      </c>
      <c r="B9" t="s">
        <v>65</v>
      </c>
      <c r="C9">
        <v>98.3</v>
      </c>
      <c r="D9" s="38">
        <v>13.237030000000001</v>
      </c>
      <c r="F9" s="38"/>
      <c r="H9" s="38"/>
      <c r="J9" s="38"/>
      <c r="K9">
        <v>0.23200000000000001</v>
      </c>
      <c r="L9" s="38">
        <v>75.868809999999996</v>
      </c>
      <c r="N9" t="str">
        <f t="shared" si="1"/>
        <v>ALL</v>
      </c>
      <c r="O9" t="str">
        <f t="shared" si="2"/>
        <v>FPc</v>
      </c>
      <c r="P9">
        <f t="shared" si="3"/>
        <v>98.3</v>
      </c>
      <c r="Q9">
        <f t="shared" si="4"/>
        <v>13.237030000000001</v>
      </c>
      <c r="R9">
        <f t="shared" si="5"/>
        <v>0</v>
      </c>
      <c r="S9">
        <f t="shared" si="6"/>
        <v>0</v>
      </c>
      <c r="T9">
        <f t="shared" si="7"/>
        <v>0</v>
      </c>
      <c r="U9">
        <f t="shared" si="8"/>
        <v>0</v>
      </c>
      <c r="V9">
        <f t="shared" si="9"/>
        <v>0</v>
      </c>
      <c r="W9">
        <f t="shared" si="10"/>
        <v>0</v>
      </c>
      <c r="X9">
        <f t="shared" si="11"/>
        <v>0.23200000000000001</v>
      </c>
      <c r="Y9">
        <f t="shared" si="12"/>
        <v>75.868809999999996</v>
      </c>
      <c r="Z9">
        <f>ROUND($T$6*P9*(1+X9),setup!$G$2)</f>
        <v>56.92</v>
      </c>
      <c r="AA9">
        <f>ROUND(SQRT(U8^2+Q9^2+X9/(1+X9)*Y9^2),setup!$G$2)</f>
        <v>35.479999999999997</v>
      </c>
      <c r="AB9" t="str">
        <f>REPLACE(REPLACE(setup!$C$2, 1, 1, ""), LEN(setup!$C$2)-1, 1, "")</f>
        <v>_deg</v>
      </c>
      <c r="AC9" t="b">
        <f>ISNUMBER(FIND(REPLACE(REPLACE(setup!$C$2, 1, 1, ""), LEN(setup!$C$2)-1, 1, ""),O9))</f>
        <v>0</v>
      </c>
      <c r="AD9" t="str">
        <f t="shared" si="14"/>
        <v>-</v>
      </c>
      <c r="AE9" t="str">
        <f t="shared" si="13"/>
        <v>FPc</v>
      </c>
      <c r="AF9" s="38">
        <f>IF(AD9="-", Z9,ROUND(V9*VLOOKUP(AD9,$O$6:$AA$26,12, FALSE), setup!$G$2))</f>
        <v>56.92</v>
      </c>
      <c r="AG9" s="39">
        <f>IF(AD9="-", AA9,ROUND(SQRT(W9^2+VLOOKUP(AD9,$O$6:$AA$26,13, FALSE)^2), setup!$G$2))</f>
        <v>35.479999999999997</v>
      </c>
    </row>
    <row r="10" spans="1:34" x14ac:dyDescent="0.15">
      <c r="A10" t="s">
        <v>35</v>
      </c>
      <c r="B10" t="s">
        <v>67</v>
      </c>
      <c r="C10">
        <v>98.3</v>
      </c>
      <c r="D10" s="38">
        <v>13.237030000000001</v>
      </c>
      <c r="F10" s="38"/>
      <c r="H10" s="38"/>
      <c r="J10" s="38"/>
      <c r="K10">
        <v>0.23200000000000001</v>
      </c>
      <c r="L10" s="38">
        <v>75.868809999999996</v>
      </c>
      <c r="N10" t="str">
        <f t="shared" si="1"/>
        <v>ALL</v>
      </c>
      <c r="O10" t="str">
        <f t="shared" si="2"/>
        <v>FPnc</v>
      </c>
      <c r="P10">
        <f t="shared" si="3"/>
        <v>98.3</v>
      </c>
      <c r="Q10">
        <f t="shared" si="4"/>
        <v>13.237030000000001</v>
      </c>
      <c r="R10">
        <f t="shared" si="5"/>
        <v>0</v>
      </c>
      <c r="S10">
        <f t="shared" si="6"/>
        <v>0</v>
      </c>
      <c r="T10">
        <f t="shared" si="7"/>
        <v>0</v>
      </c>
      <c r="U10">
        <f t="shared" si="8"/>
        <v>0</v>
      </c>
      <c r="V10">
        <f t="shared" si="9"/>
        <v>0</v>
      </c>
      <c r="W10">
        <f t="shared" si="10"/>
        <v>0</v>
      </c>
      <c r="X10">
        <f t="shared" si="11"/>
        <v>0.23200000000000001</v>
      </c>
      <c r="Y10">
        <f t="shared" si="12"/>
        <v>75.868809999999996</v>
      </c>
      <c r="Z10">
        <f>ROUND($T$6*P10*(1+X10),setup!$G$2)</f>
        <v>56.92</v>
      </c>
      <c r="AA10">
        <f>ROUND(SQRT(U9^2+Q10^2+X10/(1+X10)*Y10^2),setup!$G$2)</f>
        <v>35.479999999999997</v>
      </c>
      <c r="AB10" t="str">
        <f>REPLACE(REPLACE(setup!$C$2, 1, 1, ""), LEN(setup!$C$2)-1, 1, "")</f>
        <v>_deg</v>
      </c>
      <c r="AC10" t="b">
        <f>ISNUMBER(FIND(REPLACE(REPLACE(setup!$C$2, 1, 1, ""), LEN(setup!$C$2)-1, 1, ""),O10))</f>
        <v>0</v>
      </c>
      <c r="AD10" t="str">
        <f t="shared" si="14"/>
        <v>-</v>
      </c>
      <c r="AE10" t="str">
        <f t="shared" si="13"/>
        <v>FPnc</v>
      </c>
      <c r="AF10" s="38">
        <f>IF(AD10="-", Z10,ROUND(V10*VLOOKUP(AD10,$O$6:$AA$26,12, FALSE), setup!$G$2))</f>
        <v>56.92</v>
      </c>
      <c r="AG10" s="39">
        <f>IF(AD10="-", AA10,ROUND(SQRT(W10^2+VLOOKUP(AD10,$O$6:$AA$26,13, FALSE)^2), setup!$G$2))</f>
        <v>35.479999999999997</v>
      </c>
    </row>
    <row r="11" spans="1:34" x14ac:dyDescent="0.15">
      <c r="A11" t="s">
        <v>35</v>
      </c>
      <c r="B11" t="s">
        <v>62</v>
      </c>
      <c r="C11">
        <v>13</v>
      </c>
      <c r="D11" s="38">
        <v>6.06121</v>
      </c>
      <c r="F11" s="38"/>
      <c r="H11" s="38"/>
      <c r="J11" s="38"/>
      <c r="K11">
        <v>0.33200000000000002</v>
      </c>
      <c r="L11" s="38">
        <v>122.38448</v>
      </c>
      <c r="N11" t="str">
        <f t="shared" si="1"/>
        <v>ALL</v>
      </c>
      <c r="O11" t="str">
        <f t="shared" si="2"/>
        <v>GL</v>
      </c>
      <c r="P11">
        <f t="shared" si="3"/>
        <v>13</v>
      </c>
      <c r="Q11">
        <f t="shared" si="4"/>
        <v>6.06121</v>
      </c>
      <c r="R11">
        <f t="shared" si="5"/>
        <v>0</v>
      </c>
      <c r="S11">
        <f t="shared" si="6"/>
        <v>0</v>
      </c>
      <c r="T11">
        <f t="shared" si="7"/>
        <v>0</v>
      </c>
      <c r="U11">
        <f t="shared" si="8"/>
        <v>0</v>
      </c>
      <c r="V11">
        <f t="shared" si="9"/>
        <v>0</v>
      </c>
      <c r="W11">
        <f t="shared" si="10"/>
        <v>0</v>
      </c>
      <c r="X11">
        <f t="shared" si="11"/>
        <v>0.33200000000000002</v>
      </c>
      <c r="Y11">
        <f t="shared" si="12"/>
        <v>122.38448</v>
      </c>
      <c r="Z11">
        <f>ROUND($T$6*P11*(1+X11),setup!$G$2)</f>
        <v>8.14</v>
      </c>
      <c r="AA11">
        <f>ROUND(SQRT(U10^2+Q11^2+X11/(1+X11)*Y11^2),setup!$G$2)</f>
        <v>61.4</v>
      </c>
      <c r="AB11" t="str">
        <f>REPLACE(REPLACE(setup!$C$2, 1, 1, ""), LEN(setup!$C$2)-1, 1, "")</f>
        <v>_deg</v>
      </c>
      <c r="AC11" t="b">
        <f>ISNUMBER(FIND(REPLACE(REPLACE(setup!$C$2, 1, 1, ""), LEN(setup!$C$2)-1, 1, ""),O11))</f>
        <v>0</v>
      </c>
      <c r="AD11" t="str">
        <f t="shared" si="14"/>
        <v>-</v>
      </c>
      <c r="AE11" t="str">
        <f t="shared" si="13"/>
        <v>GL</v>
      </c>
      <c r="AF11" s="38">
        <f>IF(AD11="-", Z11,ROUND(V11*VLOOKUP(AD11,$O$6:$AA$26,12, FALSE), setup!$G$2))</f>
        <v>8.14</v>
      </c>
      <c r="AG11" s="39">
        <f>IF(AD11="-", AA11,ROUND(SQRT(W11^2+VLOOKUP(AD11,$O$6:$AA$26,13, FALSE)^2), setup!$G$2))</f>
        <v>61.4</v>
      </c>
    </row>
    <row r="12" spans="1:34" x14ac:dyDescent="0.15">
      <c r="A12" t="s">
        <v>35</v>
      </c>
      <c r="B12" t="s">
        <v>82</v>
      </c>
      <c r="D12" s="38"/>
      <c r="E12">
        <v>0</v>
      </c>
      <c r="F12" s="38">
        <v>0</v>
      </c>
      <c r="H12" s="38"/>
      <c r="J12" s="38"/>
      <c r="L12" s="38"/>
      <c r="N12" t="str">
        <f t="shared" si="1"/>
        <v>ALL</v>
      </c>
      <c r="O12" t="str">
        <f t="shared" si="2"/>
        <v>Set</v>
      </c>
      <c r="P12">
        <f t="shared" si="3"/>
        <v>0</v>
      </c>
      <c r="Q12">
        <f t="shared" si="4"/>
        <v>0</v>
      </c>
      <c r="R12">
        <f t="shared" si="5"/>
        <v>0</v>
      </c>
      <c r="S12">
        <f t="shared" si="6"/>
        <v>0</v>
      </c>
      <c r="T12">
        <f t="shared" si="7"/>
        <v>0</v>
      </c>
      <c r="U12">
        <f t="shared" si="8"/>
        <v>0</v>
      </c>
      <c r="V12">
        <f t="shared" si="9"/>
        <v>0</v>
      </c>
      <c r="W12">
        <f t="shared" si="10"/>
        <v>0</v>
      </c>
      <c r="X12">
        <f t="shared" si="11"/>
        <v>0</v>
      </c>
      <c r="Y12">
        <f t="shared" si="12"/>
        <v>0</v>
      </c>
      <c r="Z12">
        <f>ROUND($T$6*P12*(1+X12),setup!$G$2)</f>
        <v>0</v>
      </c>
      <c r="AA12">
        <f>ROUND(SQRT(U11^2+Q12^2+X12/(1+X12)*Y12^2),setup!$G$2)</f>
        <v>0</v>
      </c>
      <c r="AB12" t="str">
        <f>REPLACE(REPLACE(setup!$C$2, 1, 1, ""), LEN(setup!$C$2)-1, 1, "")</f>
        <v>_deg</v>
      </c>
      <c r="AC12" t="b">
        <f>ISNUMBER(FIND(REPLACE(REPLACE(setup!$C$2, 1, 1, ""), LEN(setup!$C$2)-1, 1, ""),O12))</f>
        <v>0</v>
      </c>
      <c r="AD12" t="str">
        <f t="shared" si="14"/>
        <v>-</v>
      </c>
      <c r="AE12" t="str">
        <f t="shared" si="13"/>
        <v>Set</v>
      </c>
      <c r="AF12" s="38">
        <f>IF(AD12="-", Z12,ROUND(V12*VLOOKUP(AD12,$O$6:$AA$26,12, FALSE), setup!$G$2))</f>
        <v>0</v>
      </c>
      <c r="AG12" s="39">
        <f>IF(AD12="-", AA12,ROUND(SQRT(W12^2+VLOOKUP(AD12,$O$6:$AA$26,13, FALSE)^2), setup!$G$2))</f>
        <v>0</v>
      </c>
    </row>
    <row r="13" spans="1:34" x14ac:dyDescent="0.15">
      <c r="A13" t="s">
        <v>35</v>
      </c>
      <c r="B13" t="s">
        <v>61</v>
      </c>
      <c r="C13">
        <v>231.7</v>
      </c>
      <c r="D13" s="38">
        <v>1.9786900000000001</v>
      </c>
      <c r="F13" s="38"/>
      <c r="H13" s="38"/>
      <c r="J13" s="38"/>
      <c r="K13">
        <v>0.23200000000000001</v>
      </c>
      <c r="L13" s="38">
        <v>75.868809999999996</v>
      </c>
      <c r="N13" t="str">
        <f t="shared" si="1"/>
        <v>ALL</v>
      </c>
      <c r="O13" t="str">
        <f t="shared" si="2"/>
        <v>THF</v>
      </c>
      <c r="P13">
        <f t="shared" si="3"/>
        <v>231.7</v>
      </c>
      <c r="Q13">
        <f t="shared" si="4"/>
        <v>1.9786900000000001</v>
      </c>
      <c r="R13">
        <f t="shared" si="5"/>
        <v>0</v>
      </c>
      <c r="S13">
        <f t="shared" si="6"/>
        <v>0</v>
      </c>
      <c r="T13">
        <f t="shared" si="7"/>
        <v>0</v>
      </c>
      <c r="U13">
        <f t="shared" si="8"/>
        <v>0</v>
      </c>
      <c r="V13">
        <f t="shared" si="9"/>
        <v>0</v>
      </c>
      <c r="W13">
        <f t="shared" si="10"/>
        <v>0</v>
      </c>
      <c r="X13">
        <f t="shared" si="11"/>
        <v>0.23200000000000001</v>
      </c>
      <c r="Y13">
        <f t="shared" si="12"/>
        <v>75.868809999999996</v>
      </c>
      <c r="Z13">
        <f>ROUND($T$6*P13*(1+X13),setup!$G$2)</f>
        <v>134.16</v>
      </c>
      <c r="AA13">
        <f>ROUND(SQRT(U12^2+Q13^2+X13/(1+X13)*Y13^2),setup!$G$2)</f>
        <v>32.979999999999997</v>
      </c>
      <c r="AB13" t="str">
        <f>REPLACE(REPLACE(setup!$C$2, 1, 1, ""), LEN(setup!$C$2)-1, 1, "")</f>
        <v>_deg</v>
      </c>
      <c r="AC13" t="b">
        <f>ISNUMBER(FIND(REPLACE(REPLACE(setup!$C$2, 1, 1, ""), LEN(setup!$C$2)-1, 1, ""),O13))</f>
        <v>0</v>
      </c>
      <c r="AD13" t="str">
        <f t="shared" si="14"/>
        <v>-</v>
      </c>
      <c r="AE13" t="str">
        <f t="shared" si="13"/>
        <v>THF</v>
      </c>
      <c r="AF13" s="38">
        <f>IF(AD13="-", Z13,ROUND(V13*VLOOKUP(AD13,$O$6:$AA$26,12, FALSE), setup!$G$2))</f>
        <v>134.16</v>
      </c>
      <c r="AG13" s="39">
        <f>IF(AD13="-", AA13,ROUND(SQRT(W13^2+VLOOKUP(AD13,$O$6:$AA$26,13, FALSE)^2), setup!$G$2))</f>
        <v>32.979999999999997</v>
      </c>
    </row>
    <row r="14" spans="1:34" x14ac:dyDescent="0.15">
      <c r="A14" t="s">
        <v>35</v>
      </c>
      <c r="B14" t="s">
        <v>69</v>
      </c>
      <c r="C14">
        <v>231.7</v>
      </c>
      <c r="D14" s="38">
        <v>1.9786900000000001</v>
      </c>
      <c r="F14" s="38"/>
      <c r="H14" s="38"/>
      <c r="J14" s="38"/>
      <c r="K14">
        <v>0.23200000000000001</v>
      </c>
      <c r="L14" s="38">
        <v>75.868809999999996</v>
      </c>
      <c r="N14" t="str">
        <f t="shared" si="1"/>
        <v>ALL</v>
      </c>
      <c r="O14" t="str">
        <f t="shared" si="2"/>
        <v>THF_log</v>
      </c>
      <c r="P14">
        <f t="shared" si="3"/>
        <v>231.7</v>
      </c>
      <c r="Q14">
        <f t="shared" si="4"/>
        <v>1.9786900000000001</v>
      </c>
      <c r="R14">
        <f t="shared" si="5"/>
        <v>0</v>
      </c>
      <c r="S14">
        <f t="shared" si="6"/>
        <v>0</v>
      </c>
      <c r="T14">
        <f t="shared" si="7"/>
        <v>0</v>
      </c>
      <c r="U14">
        <f t="shared" si="8"/>
        <v>0</v>
      </c>
      <c r="V14">
        <f t="shared" si="9"/>
        <v>0</v>
      </c>
      <c r="W14">
        <f t="shared" si="10"/>
        <v>0</v>
      </c>
      <c r="X14">
        <f t="shared" si="11"/>
        <v>0.23200000000000001</v>
      </c>
      <c r="Y14">
        <f t="shared" si="12"/>
        <v>75.868809999999996</v>
      </c>
      <c r="Z14">
        <f>ROUND($T$6*P14*(1+X14),setup!$G$2)</f>
        <v>134.16</v>
      </c>
      <c r="AA14">
        <f>ROUND(SQRT(U13^2+Q14^2+X14/(1+X14)*Y14^2),setup!$G$2)</f>
        <v>32.979999999999997</v>
      </c>
      <c r="AB14" t="str">
        <f>REPLACE(REPLACE(setup!$C$2, 1, 1, ""), LEN(setup!$C$2)-1, 1, "")</f>
        <v>_deg</v>
      </c>
      <c r="AC14" t="b">
        <f>ISNUMBER(FIND(REPLACE(REPLACE(setup!$C$2, 1, 1, ""), LEN(setup!$C$2)-1, 1, ""),O14))</f>
        <v>0</v>
      </c>
      <c r="AD14" t="str">
        <f t="shared" si="14"/>
        <v>-</v>
      </c>
      <c r="AE14" t="str">
        <f t="shared" si="13"/>
        <v>THF_log</v>
      </c>
      <c r="AF14" s="38">
        <f>IF(AD14="-", Z14,ROUND(V14*VLOOKUP(AD14,$O$6:$AA$26,12, FALSE), setup!$G$2))</f>
        <v>134.16</v>
      </c>
      <c r="AG14" s="39">
        <f>IF(AD14="-", AA14,ROUND(SQRT(W14^2+VLOOKUP(AD14,$O$6:$AA$26,13, FALSE)^2), setup!$G$2))</f>
        <v>32.979999999999997</v>
      </c>
    </row>
    <row r="15" spans="1:34" x14ac:dyDescent="0.15">
      <c r="A15" t="s">
        <v>35</v>
      </c>
      <c r="B15" t="s">
        <v>70</v>
      </c>
      <c r="D15" s="38"/>
      <c r="F15" s="38"/>
      <c r="H15" s="38"/>
      <c r="I15">
        <v>0.89200000000000002</v>
      </c>
      <c r="J15" s="38">
        <v>16.044339999999998</v>
      </c>
      <c r="L15" s="38"/>
      <c r="N15" t="str">
        <f t="shared" si="1"/>
        <v>ALL</v>
      </c>
      <c r="O15" t="str">
        <f t="shared" si="2"/>
        <v>THF_log_deg</v>
      </c>
      <c r="P15">
        <f t="shared" si="3"/>
        <v>0</v>
      </c>
      <c r="Q15">
        <f t="shared" si="4"/>
        <v>0</v>
      </c>
      <c r="R15">
        <f t="shared" si="5"/>
        <v>0</v>
      </c>
      <c r="S15">
        <f t="shared" si="6"/>
        <v>0</v>
      </c>
      <c r="T15">
        <f t="shared" si="7"/>
        <v>0</v>
      </c>
      <c r="U15">
        <f t="shared" si="8"/>
        <v>0</v>
      </c>
      <c r="V15">
        <f t="shared" si="9"/>
        <v>0.89200000000000002</v>
      </c>
      <c r="W15">
        <f t="shared" si="10"/>
        <v>16.044339999999998</v>
      </c>
      <c r="X15">
        <f t="shared" si="11"/>
        <v>0</v>
      </c>
      <c r="Y15">
        <f t="shared" si="12"/>
        <v>0</v>
      </c>
      <c r="Z15">
        <f>ROUND($T$6*P15*(1+X15),setup!$G$2)</f>
        <v>0</v>
      </c>
      <c r="AA15">
        <f>ROUND(SQRT(U14^2+Q15^2+X15/(1+X15)*Y15^2),setup!$G$2)</f>
        <v>0</v>
      </c>
      <c r="AB15" t="str">
        <f>REPLACE(REPLACE(setup!$C$2, 1, 1, ""), LEN(setup!$C$2)-1, 1, "")</f>
        <v>_deg</v>
      </c>
      <c r="AC15" t="b">
        <f>ISNUMBER(FIND(REPLACE(REPLACE(setup!$C$2, 1, 1, ""), LEN(setup!$C$2)-1, 1, ""),O15))</f>
        <v>1</v>
      </c>
      <c r="AD15" t="str">
        <f t="shared" si="14"/>
        <v>THF_log</v>
      </c>
      <c r="AE15" t="str">
        <f t="shared" si="13"/>
        <v>THF_log_deg</v>
      </c>
      <c r="AF15" s="38">
        <f>IF(AD15="-", Z15,ROUND(V15*VLOOKUP(AD15,$O$6:$AA$26,12, FALSE), setup!$G$2))</f>
        <v>119.67</v>
      </c>
      <c r="AG15" s="39">
        <f>IF(AD15="-", AA15,ROUND(SQRT(W15^2+VLOOKUP(AD15,$O$6:$AA$26,13, FALSE)^2), setup!$G$2))</f>
        <v>36.68</v>
      </c>
    </row>
    <row r="16" spans="1:34" x14ac:dyDescent="0.15">
      <c r="A16" t="s">
        <v>35</v>
      </c>
      <c r="B16" t="s">
        <v>80</v>
      </c>
      <c r="C16">
        <v>231.7</v>
      </c>
      <c r="D16" s="38">
        <v>1.9786900000000001</v>
      </c>
      <c r="F16" s="38"/>
      <c r="H16" s="38"/>
      <c r="J16" s="38"/>
      <c r="K16">
        <v>0.23200000000000001</v>
      </c>
      <c r="L16" s="38">
        <v>75.868809999999996</v>
      </c>
      <c r="N16" t="str">
        <f t="shared" si="1"/>
        <v>ALL</v>
      </c>
      <c r="O16" t="str">
        <f t="shared" si="2"/>
        <v>THF_otha</v>
      </c>
      <c r="P16">
        <f t="shared" si="3"/>
        <v>231.7</v>
      </c>
      <c r="Q16">
        <f t="shared" si="4"/>
        <v>1.9786900000000001</v>
      </c>
      <c r="R16">
        <f t="shared" si="5"/>
        <v>0</v>
      </c>
      <c r="S16">
        <f t="shared" si="6"/>
        <v>0</v>
      </c>
      <c r="T16">
        <f t="shared" si="7"/>
        <v>0</v>
      </c>
      <c r="U16">
        <f t="shared" si="8"/>
        <v>0</v>
      </c>
      <c r="V16">
        <f t="shared" si="9"/>
        <v>0</v>
      </c>
      <c r="W16">
        <f t="shared" si="10"/>
        <v>0</v>
      </c>
      <c r="X16">
        <f t="shared" si="11"/>
        <v>0.23200000000000001</v>
      </c>
      <c r="Y16">
        <f t="shared" si="12"/>
        <v>75.868809999999996</v>
      </c>
      <c r="Z16">
        <f>ROUND($T$6*P16*(1+X16),setup!$G$2)</f>
        <v>134.16</v>
      </c>
      <c r="AA16">
        <f>ROUND(SQRT(U15^2+Q16^2+X16/(1+X16)*Y16^2),setup!$G$2)</f>
        <v>32.979999999999997</v>
      </c>
      <c r="AB16" t="str">
        <f>REPLACE(REPLACE(setup!$C$2, 1, 1, ""), LEN(setup!$C$2)-1, 1, "")</f>
        <v>_deg</v>
      </c>
      <c r="AC16" t="b">
        <f>ISNUMBER(FIND(REPLACE(REPLACE(setup!$C$2, 1, 1, ""), LEN(setup!$C$2)-1, 1, ""),O16))</f>
        <v>0</v>
      </c>
      <c r="AD16" t="str">
        <f t="shared" si="14"/>
        <v>-</v>
      </c>
      <c r="AE16" t="str">
        <f t="shared" si="13"/>
        <v>THF_otha</v>
      </c>
      <c r="AF16" s="38">
        <f>IF(AD16="-", Z16,ROUND(V16*VLOOKUP(AD16,$O$6:$AA$26,12, FALSE), setup!$G$2))</f>
        <v>134.16</v>
      </c>
      <c r="AG16" s="39">
        <f>IF(AD16="-", AA16,ROUND(SQRT(W16^2+VLOOKUP(AD16,$O$6:$AA$26,13, FALSE)^2), setup!$G$2))</f>
        <v>32.979999999999997</v>
      </c>
    </row>
    <row r="17" spans="1:33" x14ac:dyDescent="0.15">
      <c r="A17" t="s">
        <v>35</v>
      </c>
      <c r="B17" t="s">
        <v>81</v>
      </c>
      <c r="D17" s="38"/>
      <c r="F17" s="38"/>
      <c r="H17" s="38"/>
      <c r="I17">
        <v>0.79600000000000004</v>
      </c>
      <c r="J17" s="38">
        <v>26.452359999999999</v>
      </c>
      <c r="L17" s="38"/>
      <c r="N17" t="str">
        <f t="shared" si="1"/>
        <v>ALL</v>
      </c>
      <c r="O17" t="str">
        <f t="shared" si="2"/>
        <v>THF_otha_deg</v>
      </c>
      <c r="P17">
        <f t="shared" si="3"/>
        <v>0</v>
      </c>
      <c r="Q17">
        <f t="shared" si="4"/>
        <v>0</v>
      </c>
      <c r="R17">
        <f t="shared" si="5"/>
        <v>0</v>
      </c>
      <c r="S17">
        <f t="shared" si="6"/>
        <v>0</v>
      </c>
      <c r="T17">
        <f t="shared" si="7"/>
        <v>0</v>
      </c>
      <c r="U17">
        <f t="shared" si="8"/>
        <v>0</v>
      </c>
      <c r="V17">
        <f t="shared" si="9"/>
        <v>0.79600000000000004</v>
      </c>
      <c r="W17">
        <f t="shared" si="10"/>
        <v>26.452359999999999</v>
      </c>
      <c r="X17">
        <f t="shared" si="11"/>
        <v>0</v>
      </c>
      <c r="Y17">
        <f t="shared" si="12"/>
        <v>0</v>
      </c>
      <c r="Z17">
        <f>ROUND($T$6*P17*(1+X17),setup!$G$2)</f>
        <v>0</v>
      </c>
      <c r="AA17">
        <f>ROUND(SQRT(U16^2+Q17^2+X17/(1+X17)*Y17^2),setup!$G$2)</f>
        <v>0</v>
      </c>
      <c r="AB17" t="str">
        <f>REPLACE(REPLACE(setup!$C$2, 1, 1, ""), LEN(setup!$C$2)-1, 1, "")</f>
        <v>_deg</v>
      </c>
      <c r="AC17" t="b">
        <f>ISNUMBER(FIND(REPLACE(REPLACE(setup!$C$2, 1, 1, ""), LEN(setup!$C$2)-1, 1, ""),O17))</f>
        <v>1</v>
      </c>
      <c r="AD17" t="str">
        <f t="shared" si="14"/>
        <v>THF_otha</v>
      </c>
      <c r="AE17" t="str">
        <f t="shared" si="13"/>
        <v>THF_otha_deg</v>
      </c>
      <c r="AF17" s="38">
        <f>IF(AD17="-", Z17,ROUND(V17*VLOOKUP(AD17,$O$6:$AA$26,12, FALSE), setup!$G$2))</f>
        <v>106.79</v>
      </c>
      <c r="AG17" s="39">
        <f>IF(AD17="-", AA17,ROUND(SQRT(W17^2+VLOOKUP(AD17,$O$6:$AA$26,13, FALSE)^2), setup!$G$2))</f>
        <v>42.28</v>
      </c>
    </row>
    <row r="18" spans="1:33" x14ac:dyDescent="0.15">
      <c r="A18" t="s">
        <v>35</v>
      </c>
      <c r="B18" t="s">
        <v>64</v>
      </c>
      <c r="C18">
        <v>17.8</v>
      </c>
      <c r="D18" s="38">
        <v>9.3136899999999994</v>
      </c>
      <c r="F18" s="38"/>
      <c r="H18" s="38"/>
      <c r="J18" s="38"/>
      <c r="K18">
        <v>0.33200000000000002</v>
      </c>
      <c r="L18" s="38">
        <v>122.38448</v>
      </c>
      <c r="N18" t="str">
        <f t="shared" si="1"/>
        <v>ALL</v>
      </c>
      <c r="O18" t="str">
        <f t="shared" si="2"/>
        <v>WD</v>
      </c>
      <c r="P18">
        <f t="shared" si="3"/>
        <v>17.8</v>
      </c>
      <c r="Q18">
        <f t="shared" si="4"/>
        <v>9.3136899999999994</v>
      </c>
      <c r="R18">
        <f t="shared" si="5"/>
        <v>0</v>
      </c>
      <c r="S18">
        <f t="shared" si="6"/>
        <v>0</v>
      </c>
      <c r="T18">
        <f t="shared" si="7"/>
        <v>0</v>
      </c>
      <c r="U18">
        <f t="shared" si="8"/>
        <v>0</v>
      </c>
      <c r="V18">
        <f t="shared" si="9"/>
        <v>0</v>
      </c>
      <c r="W18">
        <f t="shared" si="10"/>
        <v>0</v>
      </c>
      <c r="X18">
        <f t="shared" si="11"/>
        <v>0.33200000000000002</v>
      </c>
      <c r="Y18">
        <f t="shared" si="12"/>
        <v>122.38448</v>
      </c>
      <c r="Z18">
        <f>ROUND($T$6*P18*(1+X18),setup!$G$2)</f>
        <v>11.14</v>
      </c>
      <c r="AA18">
        <f>ROUND(SQRT(U17^2+Q18^2+X18/(1+X18)*Y18^2),setup!$G$2)</f>
        <v>61.81</v>
      </c>
      <c r="AB18" t="str">
        <f>REPLACE(REPLACE(setup!$C$2, 1, 1, ""), LEN(setup!$C$2)-1, 1, "")</f>
        <v>_deg</v>
      </c>
      <c r="AC18" t="b">
        <f>ISNUMBER(FIND(REPLACE(REPLACE(setup!$C$2, 1, 1, ""), LEN(setup!$C$2)-1, 1, ""),O18))</f>
        <v>0</v>
      </c>
      <c r="AD18" t="str">
        <f t="shared" si="14"/>
        <v>-</v>
      </c>
      <c r="AE18" t="str">
        <f t="shared" si="13"/>
        <v>WD</v>
      </c>
      <c r="AF18" s="38">
        <f>IF(AD18="-", Z18,ROUND(V18*VLOOKUP(AD18,$O$6:$AA$26,12, FALSE), setup!$G$2))</f>
        <v>11.14</v>
      </c>
      <c r="AG18" s="39">
        <f>IF(AD18="-", AA18,ROUND(SQRT(W18^2+VLOOKUP(AD18,$O$6:$AA$26,13, FALSE)^2), setup!$G$2))</f>
        <v>61.81</v>
      </c>
    </row>
    <row r="19" spans="1:33" x14ac:dyDescent="0.15">
      <c r="A19" t="s">
        <v>35</v>
      </c>
      <c r="B19" t="s">
        <v>74</v>
      </c>
      <c r="C19">
        <v>17.8</v>
      </c>
      <c r="D19" s="38">
        <v>9.3136899999999994</v>
      </c>
      <c r="F19" s="38"/>
      <c r="H19" s="38"/>
      <c r="J19" s="38"/>
      <c r="K19">
        <v>0.33200000000000002</v>
      </c>
      <c r="L19" s="38">
        <v>122.38448</v>
      </c>
      <c r="N19" t="str">
        <f t="shared" si="1"/>
        <v>ALL</v>
      </c>
      <c r="O19" t="str">
        <f t="shared" si="2"/>
        <v>WD_charc</v>
      </c>
      <c r="P19">
        <f t="shared" si="3"/>
        <v>17.8</v>
      </c>
      <c r="Q19">
        <f t="shared" si="4"/>
        <v>9.3136899999999994</v>
      </c>
      <c r="R19">
        <f t="shared" si="5"/>
        <v>0</v>
      </c>
      <c r="S19">
        <f t="shared" si="6"/>
        <v>0</v>
      </c>
      <c r="T19">
        <f t="shared" si="7"/>
        <v>0</v>
      </c>
      <c r="U19">
        <f t="shared" si="8"/>
        <v>0</v>
      </c>
      <c r="V19">
        <f t="shared" si="9"/>
        <v>0</v>
      </c>
      <c r="W19">
        <f t="shared" si="10"/>
        <v>0</v>
      </c>
      <c r="X19">
        <f t="shared" si="11"/>
        <v>0.33200000000000002</v>
      </c>
      <c r="Y19">
        <f t="shared" si="12"/>
        <v>122.38448</v>
      </c>
      <c r="Z19">
        <f>ROUND($T$6*P19*(1+X19),setup!$G$2)</f>
        <v>11.14</v>
      </c>
      <c r="AA19">
        <f>ROUND(SQRT(U18^2+Q19^2+X19/(1+X19)*Y19^2),setup!$G$2)</f>
        <v>61.81</v>
      </c>
      <c r="AB19" t="str">
        <f>REPLACE(REPLACE(setup!$C$2, 1, 1, ""), LEN(setup!$C$2)-1, 1, "")</f>
        <v>_deg</v>
      </c>
      <c r="AC19" t="b">
        <f>ISNUMBER(FIND(REPLACE(REPLACE(setup!$C$2, 1, 1, ""), LEN(setup!$C$2)-1, 1, ""),O19))</f>
        <v>0</v>
      </c>
      <c r="AD19" t="str">
        <f t="shared" si="14"/>
        <v>-</v>
      </c>
      <c r="AE19" t="str">
        <f t="shared" si="13"/>
        <v>WD_charc</v>
      </c>
      <c r="AF19" s="38">
        <f>IF(AD19="-", Z19,ROUND(V19*VLOOKUP(AD19,$O$6:$AA$26,12, FALSE), setup!$G$2))</f>
        <v>11.14</v>
      </c>
      <c r="AG19" s="39">
        <f>IF(AD19="-", AA19,ROUND(SQRT(W19^2+VLOOKUP(AD19,$O$6:$AA$26,13, FALSE)^2), setup!$G$2))</f>
        <v>61.81</v>
      </c>
    </row>
    <row r="20" spans="1:33" x14ac:dyDescent="0.15">
      <c r="A20" t="s">
        <v>35</v>
      </c>
      <c r="B20" t="s">
        <v>75</v>
      </c>
      <c r="D20" s="38"/>
      <c r="F20" s="38"/>
      <c r="H20" s="38"/>
      <c r="I20">
        <v>0.89200000000000002</v>
      </c>
      <c r="J20" s="38">
        <v>16.044339999999998</v>
      </c>
      <c r="L20" s="38"/>
      <c r="N20" t="str">
        <f t="shared" si="1"/>
        <v>ALL</v>
      </c>
      <c r="O20" t="str">
        <f t="shared" si="2"/>
        <v>WD_charc_deg</v>
      </c>
      <c r="P20">
        <f t="shared" si="3"/>
        <v>0</v>
      </c>
      <c r="Q20">
        <f t="shared" si="4"/>
        <v>0</v>
      </c>
      <c r="R20">
        <f t="shared" si="5"/>
        <v>0</v>
      </c>
      <c r="S20">
        <f t="shared" si="6"/>
        <v>0</v>
      </c>
      <c r="T20">
        <f t="shared" si="7"/>
        <v>0</v>
      </c>
      <c r="U20">
        <f t="shared" si="8"/>
        <v>0</v>
      </c>
      <c r="V20">
        <f t="shared" si="9"/>
        <v>0.89200000000000002</v>
      </c>
      <c r="W20">
        <f t="shared" si="10"/>
        <v>16.044339999999998</v>
      </c>
      <c r="X20">
        <f t="shared" si="11"/>
        <v>0</v>
      </c>
      <c r="Y20">
        <f t="shared" si="12"/>
        <v>0</v>
      </c>
      <c r="Z20">
        <f>ROUND($T$6*P20*(1+X20),setup!$G$2)</f>
        <v>0</v>
      </c>
      <c r="AA20">
        <f>ROUND(SQRT(U19^2+Q20^2+X20/(1+X20)*Y20^2),setup!$G$2)</f>
        <v>0</v>
      </c>
      <c r="AB20" t="str">
        <f>REPLACE(REPLACE(setup!$C$2, 1, 1, ""), LEN(setup!$C$2)-1, 1, "")</f>
        <v>_deg</v>
      </c>
      <c r="AC20" t="b">
        <f>ISNUMBER(FIND(REPLACE(REPLACE(setup!$C$2, 1, 1, ""), LEN(setup!$C$2)-1, 1, ""),O20))</f>
        <v>1</v>
      </c>
      <c r="AD20" t="str">
        <f t="shared" si="14"/>
        <v>WD_charc</v>
      </c>
      <c r="AE20" t="str">
        <f t="shared" si="13"/>
        <v>WD_charc_deg</v>
      </c>
      <c r="AF20" s="38">
        <f>IF(AD20="-", Z20,ROUND(V20*VLOOKUP(AD20,$O$6:$AA$26,12, FALSE), setup!$G$2))</f>
        <v>9.94</v>
      </c>
      <c r="AG20" s="39">
        <f>IF(AD20="-", AA20,ROUND(SQRT(W20^2+VLOOKUP(AD20,$O$6:$AA$26,13, FALSE)^2), setup!$G$2))</f>
        <v>63.86</v>
      </c>
    </row>
    <row r="21" spans="1:33" x14ac:dyDescent="0.15">
      <c r="A21" t="s">
        <v>35</v>
      </c>
      <c r="B21" t="s">
        <v>78</v>
      </c>
      <c r="C21">
        <v>17.8</v>
      </c>
      <c r="D21" s="38">
        <v>9.3136899999999994</v>
      </c>
      <c r="F21" s="38"/>
      <c r="H21" s="38"/>
      <c r="J21" s="38"/>
      <c r="K21">
        <v>0.33200000000000002</v>
      </c>
      <c r="L21" s="38">
        <v>122.38448</v>
      </c>
      <c r="N21" t="str">
        <f t="shared" si="1"/>
        <v>ALL</v>
      </c>
      <c r="O21" t="str">
        <f t="shared" si="2"/>
        <v>WD_fire</v>
      </c>
      <c r="P21">
        <f t="shared" si="3"/>
        <v>17.8</v>
      </c>
      <c r="Q21">
        <f t="shared" si="4"/>
        <v>9.3136899999999994</v>
      </c>
      <c r="R21">
        <f t="shared" si="5"/>
        <v>0</v>
      </c>
      <c r="S21">
        <f t="shared" si="6"/>
        <v>0</v>
      </c>
      <c r="T21">
        <f t="shared" si="7"/>
        <v>0</v>
      </c>
      <c r="U21">
        <f t="shared" si="8"/>
        <v>0</v>
      </c>
      <c r="V21">
        <f t="shared" si="9"/>
        <v>0</v>
      </c>
      <c r="W21">
        <f t="shared" si="10"/>
        <v>0</v>
      </c>
      <c r="X21">
        <f t="shared" si="11"/>
        <v>0.33200000000000002</v>
      </c>
      <c r="Y21">
        <f t="shared" si="12"/>
        <v>122.38448</v>
      </c>
      <c r="Z21">
        <f>ROUND($T$6*P21*(1+X21),setup!$G$2)</f>
        <v>11.14</v>
      </c>
      <c r="AA21">
        <f>ROUND(SQRT(U20^2+Q21^2+X21/(1+X21)*Y21^2),setup!$G$2)</f>
        <v>61.81</v>
      </c>
      <c r="AB21" t="str">
        <f>REPLACE(REPLACE(setup!$C$2, 1, 1, ""), LEN(setup!$C$2)-1, 1, "")</f>
        <v>_deg</v>
      </c>
      <c r="AC21" t="b">
        <f>ISNUMBER(FIND(REPLACE(REPLACE(setup!$C$2, 1, 1, ""), LEN(setup!$C$2)-1, 1, ""),O21))</f>
        <v>0</v>
      </c>
      <c r="AD21" t="str">
        <f t="shared" si="14"/>
        <v>-</v>
      </c>
      <c r="AE21" t="str">
        <f t="shared" si="13"/>
        <v>WD_fire</v>
      </c>
      <c r="AF21" s="38">
        <f>IF(AD21="-", Z21,ROUND(V21*VLOOKUP(AD21,$O$6:$AA$26,12, FALSE), setup!$G$2))</f>
        <v>11.14</v>
      </c>
      <c r="AG21" s="39">
        <f>IF(AD21="-", AA21,ROUND(SQRT(W21^2+VLOOKUP(AD21,$O$6:$AA$26,13, FALSE)^2), setup!$G$2))</f>
        <v>61.81</v>
      </c>
    </row>
    <row r="22" spans="1:33" x14ac:dyDescent="0.15">
      <c r="A22" t="s">
        <v>35</v>
      </c>
      <c r="B22" t="s">
        <v>79</v>
      </c>
      <c r="D22" s="38"/>
      <c r="F22" s="38"/>
      <c r="H22" s="38"/>
      <c r="I22">
        <v>0.70300000000000007</v>
      </c>
      <c r="J22" s="38">
        <v>32.057729999999999</v>
      </c>
      <c r="L22" s="38"/>
      <c r="N22" t="str">
        <f t="shared" si="1"/>
        <v>ALL</v>
      </c>
      <c r="O22" t="str">
        <f t="shared" si="2"/>
        <v>WD_fire_deg</v>
      </c>
      <c r="P22">
        <f t="shared" si="3"/>
        <v>0</v>
      </c>
      <c r="Q22">
        <f t="shared" si="4"/>
        <v>0</v>
      </c>
      <c r="R22">
        <f t="shared" si="5"/>
        <v>0</v>
      </c>
      <c r="S22">
        <f t="shared" si="6"/>
        <v>0</v>
      </c>
      <c r="T22">
        <f t="shared" si="7"/>
        <v>0</v>
      </c>
      <c r="U22">
        <f t="shared" si="8"/>
        <v>0</v>
      </c>
      <c r="V22">
        <f t="shared" si="9"/>
        <v>0.70300000000000007</v>
      </c>
      <c r="W22">
        <f t="shared" si="10"/>
        <v>32.057729999999999</v>
      </c>
      <c r="X22">
        <f t="shared" si="11"/>
        <v>0</v>
      </c>
      <c r="Y22">
        <f t="shared" si="12"/>
        <v>0</v>
      </c>
      <c r="Z22">
        <f>ROUND($T$6*P22*(1+X22),setup!$G$2)</f>
        <v>0</v>
      </c>
      <c r="AA22">
        <f>ROUND(SQRT(U21^2+Q22^2+X22/(1+X22)*Y22^2),setup!$G$2)</f>
        <v>0</v>
      </c>
      <c r="AB22" t="str">
        <f>REPLACE(REPLACE(setup!$C$2, 1, 1, ""), LEN(setup!$C$2)-1, 1, "")</f>
        <v>_deg</v>
      </c>
      <c r="AC22" t="b">
        <f>ISNUMBER(FIND(REPLACE(REPLACE(setup!$C$2, 1, 1, ""), LEN(setup!$C$2)-1, 1, ""),O22))</f>
        <v>1</v>
      </c>
      <c r="AD22" t="str">
        <f t="shared" si="14"/>
        <v>WD_fire</v>
      </c>
      <c r="AE22" t="str">
        <f t="shared" si="13"/>
        <v>WD_fire_deg</v>
      </c>
      <c r="AF22" s="38">
        <f>IF(AD22="-", Z22,ROUND(V22*VLOOKUP(AD22,$O$6:$AA$26,12, FALSE), setup!$G$2))</f>
        <v>7.83</v>
      </c>
      <c r="AG22" s="39">
        <f>IF(AD22="-", AA22,ROUND(SQRT(W22^2+VLOOKUP(AD22,$O$6:$AA$26,13, FALSE)^2), setup!$G$2))</f>
        <v>69.63</v>
      </c>
    </row>
    <row r="23" spans="1:33" x14ac:dyDescent="0.15">
      <c r="A23" t="s">
        <v>35</v>
      </c>
      <c r="B23" t="s">
        <v>72</v>
      </c>
      <c r="C23">
        <v>17.8</v>
      </c>
      <c r="D23" s="38">
        <v>9.3136899999999994</v>
      </c>
      <c r="F23" s="38"/>
      <c r="H23" s="38"/>
      <c r="J23" s="38"/>
      <c r="K23">
        <v>0.33200000000000002</v>
      </c>
      <c r="L23" s="38">
        <v>122.38448</v>
      </c>
      <c r="N23" t="str">
        <f t="shared" si="1"/>
        <v>ALL</v>
      </c>
      <c r="O23" t="str">
        <f t="shared" si="2"/>
        <v>WD_log</v>
      </c>
      <c r="P23">
        <f t="shared" si="3"/>
        <v>17.8</v>
      </c>
      <c r="Q23">
        <f t="shared" si="4"/>
        <v>9.3136899999999994</v>
      </c>
      <c r="R23">
        <f t="shared" si="5"/>
        <v>0</v>
      </c>
      <c r="S23">
        <f t="shared" si="6"/>
        <v>0</v>
      </c>
      <c r="T23">
        <f t="shared" si="7"/>
        <v>0</v>
      </c>
      <c r="U23">
        <f t="shared" si="8"/>
        <v>0</v>
      </c>
      <c r="V23">
        <f t="shared" si="9"/>
        <v>0</v>
      </c>
      <c r="W23">
        <f t="shared" si="10"/>
        <v>0</v>
      </c>
      <c r="X23">
        <f t="shared" si="11"/>
        <v>0.33200000000000002</v>
      </c>
      <c r="Y23">
        <f t="shared" si="12"/>
        <v>122.38448</v>
      </c>
      <c r="Z23">
        <f>ROUND($T$6*P23*(1+X23),setup!$G$2)</f>
        <v>11.14</v>
      </c>
      <c r="AA23">
        <f>ROUND(SQRT(U22^2+Q23^2+X23/(1+X23)*Y23^2),setup!$G$2)</f>
        <v>61.81</v>
      </c>
      <c r="AB23" t="str">
        <f>REPLACE(REPLACE(setup!$C$2, 1, 1, ""), LEN(setup!$C$2)-1, 1, "")</f>
        <v>_deg</v>
      </c>
      <c r="AC23" t="b">
        <f>ISNUMBER(FIND(REPLACE(REPLACE(setup!$C$2, 1, 1, ""), LEN(setup!$C$2)-1, 1, ""),O23))</f>
        <v>0</v>
      </c>
      <c r="AD23" t="str">
        <f t="shared" si="14"/>
        <v>-</v>
      </c>
      <c r="AE23" t="str">
        <f t="shared" si="13"/>
        <v>WD_log</v>
      </c>
      <c r="AF23" s="38">
        <f>IF(AD23="-", Z23,ROUND(V23*VLOOKUP(AD23,$O$6:$AA$26,12, FALSE), setup!$G$2))</f>
        <v>11.14</v>
      </c>
      <c r="AG23" s="39">
        <f>IF(AD23="-", AA23,ROUND(SQRT(W23^2+VLOOKUP(AD23,$O$6:$AA$26,13, FALSE)^2), setup!$G$2))</f>
        <v>61.81</v>
      </c>
    </row>
    <row r="24" spans="1:33" x14ac:dyDescent="0.15">
      <c r="A24" t="s">
        <v>35</v>
      </c>
      <c r="B24" t="s">
        <v>73</v>
      </c>
      <c r="D24" s="38"/>
      <c r="F24" s="38"/>
      <c r="H24" s="38"/>
      <c r="I24">
        <v>0.89200000000000002</v>
      </c>
      <c r="J24" s="38">
        <v>16.044339999999998</v>
      </c>
      <c r="L24" s="38"/>
      <c r="N24" t="str">
        <f t="shared" si="1"/>
        <v>ALL</v>
      </c>
      <c r="O24" t="str">
        <f t="shared" si="2"/>
        <v>WD_log_deg</v>
      </c>
      <c r="P24">
        <f t="shared" si="3"/>
        <v>0</v>
      </c>
      <c r="Q24">
        <f t="shared" si="4"/>
        <v>0</v>
      </c>
      <c r="R24">
        <f t="shared" si="5"/>
        <v>0</v>
      </c>
      <c r="S24">
        <f t="shared" si="6"/>
        <v>0</v>
      </c>
      <c r="T24">
        <f t="shared" si="7"/>
        <v>0</v>
      </c>
      <c r="U24">
        <f t="shared" si="8"/>
        <v>0</v>
      </c>
      <c r="V24">
        <f t="shared" si="9"/>
        <v>0.89200000000000002</v>
      </c>
      <c r="W24">
        <f t="shared" si="10"/>
        <v>16.044339999999998</v>
      </c>
      <c r="X24">
        <f t="shared" si="11"/>
        <v>0</v>
      </c>
      <c r="Y24">
        <f t="shared" si="12"/>
        <v>0</v>
      </c>
      <c r="Z24">
        <f>ROUND($T$6*P24*(1+X24),setup!$G$2)</f>
        <v>0</v>
      </c>
      <c r="AA24">
        <f>ROUND(SQRT(U23^2+Q24^2+X24/(1+X24)*Y24^2),setup!$G$2)</f>
        <v>0</v>
      </c>
      <c r="AB24" t="str">
        <f>REPLACE(REPLACE(setup!$C$2, 1, 1, ""), LEN(setup!$C$2)-1, 1, "")</f>
        <v>_deg</v>
      </c>
      <c r="AC24" t="b">
        <f>ISNUMBER(FIND(REPLACE(REPLACE(setup!$C$2, 1, 1, ""), LEN(setup!$C$2)-1, 1, ""),O24))</f>
        <v>1</v>
      </c>
      <c r="AD24" t="str">
        <f t="shared" si="14"/>
        <v>WD_log</v>
      </c>
      <c r="AE24" t="str">
        <f t="shared" si="13"/>
        <v>WD_log_deg</v>
      </c>
      <c r="AF24" s="38">
        <f>IF(AD24="-", Z24,ROUND(V24*VLOOKUP(AD24,$O$6:$AA$26,12, FALSE), setup!$G$2))</f>
        <v>9.94</v>
      </c>
      <c r="AG24" s="39">
        <f>IF(AD24="-", AA24,ROUND(SQRT(W24^2+VLOOKUP(AD24,$O$6:$AA$26,13, FALSE)^2), setup!$G$2))</f>
        <v>63.86</v>
      </c>
    </row>
    <row r="25" spans="1:33" x14ac:dyDescent="0.15">
      <c r="A25" t="s">
        <v>35</v>
      </c>
      <c r="B25" t="s">
        <v>76</v>
      </c>
      <c r="C25">
        <v>17.8</v>
      </c>
      <c r="D25" s="38">
        <v>9.3136899999999994</v>
      </c>
      <c r="F25" s="38"/>
      <c r="H25" s="38"/>
      <c r="J25" s="38"/>
      <c r="K25">
        <v>0.33200000000000002</v>
      </c>
      <c r="L25" s="38">
        <v>122.38448</v>
      </c>
      <c r="N25" t="str">
        <f t="shared" si="1"/>
        <v>ALL</v>
      </c>
      <c r="O25" t="str">
        <f t="shared" si="2"/>
        <v>WD_other</v>
      </c>
      <c r="P25">
        <f t="shared" si="3"/>
        <v>17.8</v>
      </c>
      <c r="Q25">
        <f t="shared" si="4"/>
        <v>9.3136899999999994</v>
      </c>
      <c r="R25">
        <f t="shared" si="5"/>
        <v>0</v>
      </c>
      <c r="S25">
        <f t="shared" si="6"/>
        <v>0</v>
      </c>
      <c r="T25">
        <f t="shared" si="7"/>
        <v>0</v>
      </c>
      <c r="U25">
        <f t="shared" si="8"/>
        <v>0</v>
      </c>
      <c r="V25">
        <f t="shared" si="9"/>
        <v>0</v>
      </c>
      <c r="W25">
        <f t="shared" si="10"/>
        <v>0</v>
      </c>
      <c r="X25">
        <f t="shared" si="11"/>
        <v>0.33200000000000002</v>
      </c>
      <c r="Y25">
        <f t="shared" si="12"/>
        <v>122.38448</v>
      </c>
      <c r="Z25">
        <f>ROUND($T$6*P25*(1+X25),setup!$G$2)</f>
        <v>11.14</v>
      </c>
      <c r="AA25">
        <f>ROUND(SQRT(U24^2+Q25^2+X25/(1+X25)*Y25^2),setup!$G$2)</f>
        <v>61.81</v>
      </c>
      <c r="AB25" t="str">
        <f>REPLACE(REPLACE(setup!$C$2, 1, 1, ""), LEN(setup!$C$2)-1, 1, "")</f>
        <v>_deg</v>
      </c>
      <c r="AC25" t="b">
        <f>ISNUMBER(FIND(REPLACE(REPLACE(setup!$C$2, 1, 1, ""), LEN(setup!$C$2)-1, 1, ""),O25))</f>
        <v>0</v>
      </c>
      <c r="AD25" t="str">
        <f t="shared" si="14"/>
        <v>-</v>
      </c>
      <c r="AE25" t="str">
        <f t="shared" si="13"/>
        <v>WD_other</v>
      </c>
      <c r="AF25" s="38">
        <f>IF(AD25="-", Z25,ROUND(V25*VLOOKUP(AD25,$O$6:$AA$26,12, FALSE), setup!$G$2))</f>
        <v>11.14</v>
      </c>
      <c r="AG25" s="39">
        <f>IF(AD25="-", AA25,ROUND(SQRT(W25^2+VLOOKUP(AD25,$O$6:$AA$26,13, FALSE)^2), setup!$G$2))</f>
        <v>61.81</v>
      </c>
    </row>
    <row r="26" spans="1:33" x14ac:dyDescent="0.15">
      <c r="A26" t="s">
        <v>35</v>
      </c>
      <c r="B26" t="s">
        <v>77</v>
      </c>
      <c r="D26" s="38"/>
      <c r="F26" s="38"/>
      <c r="H26" s="38"/>
      <c r="I26">
        <v>0.79600000000000004</v>
      </c>
      <c r="J26" s="38">
        <v>26.452359999999999</v>
      </c>
      <c r="L26" s="38"/>
      <c r="N26" t="str">
        <f t="shared" si="1"/>
        <v>ALL</v>
      </c>
      <c r="O26" t="str">
        <f t="shared" si="2"/>
        <v>WD_other_deg</v>
      </c>
      <c r="P26">
        <f t="shared" si="3"/>
        <v>0</v>
      </c>
      <c r="Q26">
        <f t="shared" si="4"/>
        <v>0</v>
      </c>
      <c r="R26">
        <f t="shared" si="5"/>
        <v>0</v>
      </c>
      <c r="S26">
        <f t="shared" si="6"/>
        <v>0</v>
      </c>
      <c r="T26">
        <f t="shared" si="7"/>
        <v>0</v>
      </c>
      <c r="U26">
        <f t="shared" si="8"/>
        <v>0</v>
      </c>
      <c r="V26">
        <f t="shared" si="9"/>
        <v>0.79600000000000004</v>
      </c>
      <c r="W26">
        <f t="shared" si="10"/>
        <v>26.452359999999999</v>
      </c>
      <c r="X26">
        <f t="shared" si="11"/>
        <v>0</v>
      </c>
      <c r="Y26">
        <f t="shared" si="12"/>
        <v>0</v>
      </c>
      <c r="Z26">
        <f>ROUND($T$6*P26*(1+X26),setup!$G$2)</f>
        <v>0</v>
      </c>
      <c r="AA26">
        <f>ROUND(SQRT(U25^2+Q26^2+X26/(1+X26)*Y26^2),setup!$G$2)</f>
        <v>0</v>
      </c>
      <c r="AB26" t="str">
        <f>REPLACE(REPLACE(setup!$C$2, 1, 1, ""), LEN(setup!$C$2)-1, 1, "")</f>
        <v>_deg</v>
      </c>
      <c r="AC26" t="b">
        <f>ISNUMBER(FIND(REPLACE(REPLACE(setup!$C$2, 1, 1, ""), LEN(setup!$C$2)-1, 1, ""),O26))</f>
        <v>1</v>
      </c>
      <c r="AD26" t="str">
        <f t="shared" si="14"/>
        <v>WD_other</v>
      </c>
      <c r="AE26" t="str">
        <f t="shared" si="13"/>
        <v>WD_other_deg</v>
      </c>
      <c r="AF26" s="38">
        <f>IF(AD26="-", Z26,ROUND(V26*VLOOKUP(AD26,$O$6:$AA$26,12, FALSE), setup!$G$2))</f>
        <v>8.8699999999999992</v>
      </c>
      <c r="AG26" s="39">
        <f>IF(AD26="-", AA26,ROUND(SQRT(W26^2+VLOOKUP(AD26,$O$6:$AA$26,13, FALSE)^2), setup!$G$2))</f>
        <v>67.23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9E272-3EDE-AA4D-9E63-498396A4502C}">
  <dimension ref="A1:Q74"/>
  <sheetViews>
    <sheetView zoomScale="140" zoomScaleNormal="140" workbookViewId="0">
      <selection activeCell="L22" sqref="L22"/>
    </sheetView>
  </sheetViews>
  <sheetFormatPr baseColWidth="10" defaultRowHeight="13" x14ac:dyDescent="0.15"/>
  <cols>
    <col min="1" max="1" width="8" bestFit="1" customWidth="1"/>
    <col min="3" max="3" width="9" bestFit="1" customWidth="1"/>
    <col min="4" max="4" width="13" bestFit="1" customWidth="1"/>
    <col min="6" max="6" width="13" bestFit="1" customWidth="1"/>
    <col min="8" max="8" width="12.33203125" bestFit="1" customWidth="1"/>
  </cols>
  <sheetData>
    <row r="1" spans="1:17" x14ac:dyDescent="0.15">
      <c r="A1" s="31" t="str">
        <f>area!A1</f>
        <v>trans_no</v>
      </c>
      <c r="B1" s="31" t="str">
        <f>area!B1</f>
        <v>trans_period</v>
      </c>
      <c r="C1" s="31" t="str">
        <f>area!C1</f>
        <v>lu_initial</v>
      </c>
      <c r="D1" s="31" t="str">
        <f>area!D1</f>
        <v>lu_final</v>
      </c>
      <c r="E1" s="32" t="s">
        <v>131</v>
      </c>
      <c r="F1" s="32" t="s">
        <v>147</v>
      </c>
      <c r="G1" s="32" t="s">
        <v>132</v>
      </c>
      <c r="H1" s="32" t="s">
        <v>148</v>
      </c>
      <c r="I1" s="40" t="s">
        <v>133</v>
      </c>
      <c r="J1" s="40" t="s">
        <v>149</v>
      </c>
      <c r="K1" s="5"/>
      <c r="L1" s="5"/>
      <c r="M1" s="5"/>
      <c r="N1" s="5"/>
      <c r="O1" s="5"/>
      <c r="P1" s="5"/>
      <c r="Q1" s="5"/>
    </row>
    <row r="2" spans="1:17" x14ac:dyDescent="0.15">
      <c r="A2" s="31">
        <f>area!A2</f>
        <v>1</v>
      </c>
      <c r="B2" s="31" t="str">
        <f>area!B2</f>
        <v>T1</v>
      </c>
      <c r="C2" s="31" t="str">
        <f>area!C2</f>
        <v>THF</v>
      </c>
      <c r="D2" s="31" t="str">
        <f>area!D2</f>
        <v>FPc</v>
      </c>
      <c r="E2" s="23">
        <f>VLOOKUP(C2, 'pivot-prepa EFRF'!$AE$7:$AG$26,2,FALSE)</f>
        <v>134.16</v>
      </c>
      <c r="F2" s="25">
        <f>VLOOKUP(C2, 'pivot-prepa EFRF'!$AE$7:$AG$26,3,FALSE)</f>
        <v>32.979999999999997</v>
      </c>
      <c r="G2" s="23">
        <f>VLOOKUP(D2, 'pivot-prepa EFRF'!$AE$7:$AG$26,2,FALSE)</f>
        <v>56.92</v>
      </c>
      <c r="H2" s="25">
        <f>VLOOKUP(D2, 'pivot-prepa EFRF'!$AE$7:$AG$26,3,FALSE)</f>
        <v>35.479999999999997</v>
      </c>
      <c r="I2" s="41">
        <f>ROUND((E2-G2)*44/12,setup!$G$2)</f>
        <v>283.20999999999998</v>
      </c>
      <c r="J2" s="42">
        <f>SQRT((E2*F2)^2+(G2*H2)^2)/(E2-G2)</f>
        <v>62.968598071208177</v>
      </c>
    </row>
    <row r="3" spans="1:17" x14ac:dyDescent="0.15">
      <c r="A3" s="31">
        <f>area!A3</f>
        <v>2</v>
      </c>
      <c r="B3" s="31" t="str">
        <f>area!B3</f>
        <v>T1</v>
      </c>
      <c r="C3" s="31" t="str">
        <f>area!C3</f>
        <v>THF</v>
      </c>
      <c r="D3" s="31" t="str">
        <f>area!D3</f>
        <v>CP_a</v>
      </c>
      <c r="E3" s="23">
        <f>VLOOKUP(C3, 'pivot-prepa EFRF'!$AE$7:$AG$26,2,FALSE)</f>
        <v>134.16</v>
      </c>
      <c r="F3" s="25">
        <f>VLOOKUP(C3, 'pivot-prepa EFRF'!$AE$7:$AG$26,3,FALSE)</f>
        <v>32.979999999999997</v>
      </c>
      <c r="G3" s="23">
        <f>VLOOKUP(D3, 'pivot-prepa EFRF'!$AE$7:$AG$26,2,FALSE)</f>
        <v>4.7</v>
      </c>
      <c r="H3" s="25">
        <f>VLOOKUP(D3, 'pivot-prepa EFRF'!$AE$7:$AG$26,3,FALSE)</f>
        <v>84.41</v>
      </c>
      <c r="I3" s="41">
        <f>ROUND((E3-G3)*44/12,setup!$G$2)</f>
        <v>474.69</v>
      </c>
      <c r="J3" s="42">
        <f t="shared" ref="J3:J66" si="0">SQRT((E3*F3)^2+(G3*H3)^2)/(E3-G3)</f>
        <v>34.314438879762903</v>
      </c>
    </row>
    <row r="4" spans="1:17" x14ac:dyDescent="0.15">
      <c r="A4" s="31">
        <f>area!A4</f>
        <v>3</v>
      </c>
      <c r="B4" s="31" t="str">
        <f>area!B4</f>
        <v>T1</v>
      </c>
      <c r="C4" s="31" t="str">
        <f>area!C4</f>
        <v>THF</v>
      </c>
      <c r="D4" s="31" t="str">
        <f>area!D4</f>
        <v>GL</v>
      </c>
      <c r="E4" s="23">
        <f>VLOOKUP(C4, 'pivot-prepa EFRF'!$AE$7:$AG$26,2,FALSE)</f>
        <v>134.16</v>
      </c>
      <c r="F4" s="25">
        <f>VLOOKUP(C4, 'pivot-prepa EFRF'!$AE$7:$AG$26,3,FALSE)</f>
        <v>32.979999999999997</v>
      </c>
      <c r="G4" s="23">
        <f>VLOOKUP(D4, 'pivot-prepa EFRF'!$AE$7:$AG$26,2,FALSE)</f>
        <v>8.14</v>
      </c>
      <c r="H4" s="25">
        <f>VLOOKUP(D4, 'pivot-prepa EFRF'!$AE$7:$AG$26,3,FALSE)</f>
        <v>61.4</v>
      </c>
      <c r="I4" s="41">
        <f>ROUND((E4-G4)*44/12,setup!$G$2)</f>
        <v>462.07</v>
      </c>
      <c r="J4" s="42">
        <f t="shared" si="0"/>
        <v>35.333561644007922</v>
      </c>
    </row>
    <row r="5" spans="1:17" x14ac:dyDescent="0.15">
      <c r="A5" s="31">
        <f>area!A5</f>
        <v>4</v>
      </c>
      <c r="B5" s="31" t="str">
        <f>area!B5</f>
        <v>T1</v>
      </c>
      <c r="C5" s="31" t="str">
        <f>area!C5</f>
        <v>WD</v>
      </c>
      <c r="D5" s="31" t="str">
        <f>area!D5</f>
        <v>CP_a</v>
      </c>
      <c r="E5" s="23">
        <f>VLOOKUP(C5, 'pivot-prepa EFRF'!$AE$7:$AG$26,2,FALSE)</f>
        <v>11.14</v>
      </c>
      <c r="F5" s="25">
        <f>VLOOKUP(C5, 'pivot-prepa EFRF'!$AE$7:$AG$26,3,FALSE)</f>
        <v>61.81</v>
      </c>
      <c r="G5" s="23">
        <f>VLOOKUP(D5, 'pivot-prepa EFRF'!$AE$7:$AG$26,2,FALSE)</f>
        <v>4.7</v>
      </c>
      <c r="H5" s="25">
        <f>VLOOKUP(D5, 'pivot-prepa EFRF'!$AE$7:$AG$26,3,FALSE)</f>
        <v>84.41</v>
      </c>
      <c r="I5" s="41">
        <f>ROUND((E5-G5)*44/12,setup!$G$2)</f>
        <v>23.61</v>
      </c>
      <c r="J5" s="42">
        <f t="shared" si="0"/>
        <v>123.39708232306727</v>
      </c>
    </row>
    <row r="6" spans="1:17" x14ac:dyDescent="0.15">
      <c r="A6" s="31">
        <f>area!A6</f>
        <v>5</v>
      </c>
      <c r="B6" s="31" t="str">
        <f>area!B6</f>
        <v>T1</v>
      </c>
      <c r="C6" s="31" t="str">
        <f>area!C6</f>
        <v>WD</v>
      </c>
      <c r="D6" s="31" t="str">
        <f>area!D6</f>
        <v>GL</v>
      </c>
      <c r="E6" s="23">
        <f>VLOOKUP(C6, 'pivot-prepa EFRF'!$AE$7:$AG$26,2,FALSE)</f>
        <v>11.14</v>
      </c>
      <c r="F6" s="25">
        <f>VLOOKUP(C6, 'pivot-prepa EFRF'!$AE$7:$AG$26,3,FALSE)</f>
        <v>61.81</v>
      </c>
      <c r="G6" s="23">
        <f>VLOOKUP(D6, 'pivot-prepa EFRF'!$AE$7:$AG$26,2,FALSE)</f>
        <v>8.14</v>
      </c>
      <c r="H6" s="25">
        <f>VLOOKUP(D6, 'pivot-prepa EFRF'!$AE$7:$AG$26,3,FALSE)</f>
        <v>61.4</v>
      </c>
      <c r="I6" s="41">
        <f>ROUND((E6-G6)*44/12,setup!$G$2)</f>
        <v>11</v>
      </c>
      <c r="J6" s="42">
        <f t="shared" si="0"/>
        <v>283.61076563087113</v>
      </c>
    </row>
    <row r="7" spans="1:17" x14ac:dyDescent="0.15">
      <c r="A7" s="31">
        <f>area!A7</f>
        <v>6</v>
      </c>
      <c r="B7" s="31" t="str">
        <f>area!B7</f>
        <v>T1</v>
      </c>
      <c r="C7" s="31" t="str">
        <f>area!C7</f>
        <v>WD_fire</v>
      </c>
      <c r="D7" s="31" t="str">
        <f>area!D7</f>
        <v>WD_fire_deg</v>
      </c>
      <c r="E7" s="23">
        <f>VLOOKUP(C7, 'pivot-prepa EFRF'!$AE$7:$AG$26,2,FALSE)</f>
        <v>11.14</v>
      </c>
      <c r="F7" s="25">
        <f>VLOOKUP(C7, 'pivot-prepa EFRF'!$AE$7:$AG$26,3,FALSE)</f>
        <v>61.81</v>
      </c>
      <c r="G7" s="23">
        <f>VLOOKUP(D7, 'pivot-prepa EFRF'!$AE$7:$AG$26,2,FALSE)</f>
        <v>7.83</v>
      </c>
      <c r="H7" s="25">
        <f>VLOOKUP(D7, 'pivot-prepa EFRF'!$AE$7:$AG$26,3,FALSE)</f>
        <v>69.63</v>
      </c>
      <c r="I7" s="41">
        <f>ROUND((E7-G7)*44/12,setup!$G$2)</f>
        <v>12.14</v>
      </c>
      <c r="J7" s="42">
        <f t="shared" si="0"/>
        <v>265.33966972860395</v>
      </c>
    </row>
    <row r="8" spans="1:17" x14ac:dyDescent="0.15">
      <c r="A8" s="31">
        <f>area!A8</f>
        <v>7</v>
      </c>
      <c r="B8" s="31" t="str">
        <f>area!B8</f>
        <v>T1</v>
      </c>
      <c r="C8" s="31" t="str">
        <f>area!C8</f>
        <v>WD_other</v>
      </c>
      <c r="D8" s="31" t="str">
        <f>area!D8</f>
        <v>WD_other_deg</v>
      </c>
      <c r="E8" s="23">
        <f>VLOOKUP(C8, 'pivot-prepa EFRF'!$AE$7:$AG$26,2,FALSE)</f>
        <v>11.14</v>
      </c>
      <c r="F8" s="25">
        <f>VLOOKUP(C8, 'pivot-prepa EFRF'!$AE$7:$AG$26,3,FALSE)</f>
        <v>61.81</v>
      </c>
      <c r="G8" s="23">
        <f>VLOOKUP(D8, 'pivot-prepa EFRF'!$AE$7:$AG$26,2,FALSE)</f>
        <v>8.8699999999999992</v>
      </c>
      <c r="H8" s="25">
        <f>VLOOKUP(D8, 'pivot-prepa EFRF'!$AE$7:$AG$26,3,FALSE)</f>
        <v>67.23</v>
      </c>
      <c r="I8" s="41">
        <f>ROUND((E8-G8)*44/12,setup!$G$2)</f>
        <v>8.32</v>
      </c>
      <c r="J8" s="42">
        <f t="shared" si="0"/>
        <v>401.27519569826086</v>
      </c>
    </row>
    <row r="9" spans="1:17" x14ac:dyDescent="0.15">
      <c r="A9" s="31">
        <f>area!A9</f>
        <v>8</v>
      </c>
      <c r="B9" s="31" t="str">
        <f>area!B9</f>
        <v>T2</v>
      </c>
      <c r="C9" s="31" t="str">
        <f>area!C9</f>
        <v>THF</v>
      </c>
      <c r="D9" s="31" t="str">
        <f>area!D9</f>
        <v>CP_p</v>
      </c>
      <c r="E9" s="23">
        <f>VLOOKUP(C9, 'pivot-prepa EFRF'!$AE$7:$AG$26,2,FALSE)</f>
        <v>134.16</v>
      </c>
      <c r="F9" s="25">
        <f>VLOOKUP(C9, 'pivot-prepa EFRF'!$AE$7:$AG$26,3,FALSE)</f>
        <v>32.979999999999997</v>
      </c>
      <c r="G9" s="23">
        <f>VLOOKUP(D9, 'pivot-prepa EFRF'!$AE$7:$AG$26,2,FALSE)</f>
        <v>3.42</v>
      </c>
      <c r="H9" s="25">
        <f>VLOOKUP(D9, 'pivot-prepa EFRF'!$AE$7:$AG$26,3,FALSE)</f>
        <v>45.84</v>
      </c>
      <c r="I9" s="41">
        <f>ROUND((E9-G9)*44/12,setup!$G$2)</f>
        <v>479.38</v>
      </c>
      <c r="J9" s="42">
        <f t="shared" si="0"/>
        <v>33.86395383490369</v>
      </c>
    </row>
    <row r="10" spans="1:17" x14ac:dyDescent="0.15">
      <c r="A10" s="31">
        <f>area!A10</f>
        <v>9</v>
      </c>
      <c r="B10" s="31" t="str">
        <f>area!B10</f>
        <v>T2</v>
      </c>
      <c r="C10" s="31" t="str">
        <f>area!C10</f>
        <v>THF</v>
      </c>
      <c r="D10" s="31" t="str">
        <f>area!D10</f>
        <v>CP_a</v>
      </c>
      <c r="E10" s="23">
        <f>VLOOKUP(C10, 'pivot-prepa EFRF'!$AE$7:$AG$26,2,FALSE)</f>
        <v>134.16</v>
      </c>
      <c r="F10" s="25">
        <f>VLOOKUP(C10, 'pivot-prepa EFRF'!$AE$7:$AG$26,3,FALSE)</f>
        <v>32.979999999999997</v>
      </c>
      <c r="G10" s="23">
        <f>VLOOKUP(D10, 'pivot-prepa EFRF'!$AE$7:$AG$26,2,FALSE)</f>
        <v>4.7</v>
      </c>
      <c r="H10" s="25">
        <f>VLOOKUP(D10, 'pivot-prepa EFRF'!$AE$7:$AG$26,3,FALSE)</f>
        <v>84.41</v>
      </c>
      <c r="I10" s="41">
        <f>ROUND((E10-G10)*44/12,setup!$G$2)</f>
        <v>474.69</v>
      </c>
      <c r="J10" s="42">
        <f t="shared" si="0"/>
        <v>34.314438879762903</v>
      </c>
    </row>
    <row r="11" spans="1:17" x14ac:dyDescent="0.15">
      <c r="A11" s="31">
        <f>area!A11</f>
        <v>10</v>
      </c>
      <c r="B11" s="31" t="str">
        <f>area!B11</f>
        <v>T2</v>
      </c>
      <c r="C11" s="31" t="str">
        <f>area!C11</f>
        <v>THF</v>
      </c>
      <c r="D11" s="31" t="str">
        <f>area!D11</f>
        <v>GL</v>
      </c>
      <c r="E11" s="23">
        <f>VLOOKUP(C11, 'pivot-prepa EFRF'!$AE$7:$AG$26,2,FALSE)</f>
        <v>134.16</v>
      </c>
      <c r="F11" s="25">
        <f>VLOOKUP(C11, 'pivot-prepa EFRF'!$AE$7:$AG$26,3,FALSE)</f>
        <v>32.979999999999997</v>
      </c>
      <c r="G11" s="23">
        <f>VLOOKUP(D11, 'pivot-prepa EFRF'!$AE$7:$AG$26,2,FALSE)</f>
        <v>8.14</v>
      </c>
      <c r="H11" s="25">
        <f>VLOOKUP(D11, 'pivot-prepa EFRF'!$AE$7:$AG$26,3,FALSE)</f>
        <v>61.4</v>
      </c>
      <c r="I11" s="41">
        <f>ROUND((E11-G11)*44/12,setup!$G$2)</f>
        <v>462.07</v>
      </c>
      <c r="J11" s="42">
        <f t="shared" si="0"/>
        <v>35.333561644007922</v>
      </c>
    </row>
    <row r="12" spans="1:17" x14ac:dyDescent="0.15">
      <c r="A12" s="31">
        <f>area!A12</f>
        <v>11</v>
      </c>
      <c r="B12" s="31" t="str">
        <f>area!B12</f>
        <v>T2</v>
      </c>
      <c r="C12" s="31" t="str">
        <f>area!C12</f>
        <v>THF_log</v>
      </c>
      <c r="D12" s="31" t="str">
        <f>area!D12</f>
        <v>THF_log_deg</v>
      </c>
      <c r="E12" s="23">
        <f>VLOOKUP(C12, 'pivot-prepa EFRF'!$AE$7:$AG$26,2,FALSE)</f>
        <v>134.16</v>
      </c>
      <c r="F12" s="25">
        <f>VLOOKUP(C12, 'pivot-prepa EFRF'!$AE$7:$AG$26,3,FALSE)</f>
        <v>32.979999999999997</v>
      </c>
      <c r="G12" s="23">
        <f>VLOOKUP(D12, 'pivot-prepa EFRF'!$AE$7:$AG$26,2,FALSE)</f>
        <v>119.67</v>
      </c>
      <c r="H12" s="25">
        <f>VLOOKUP(D12, 'pivot-prepa EFRF'!$AE$7:$AG$26,3,FALSE)</f>
        <v>36.68</v>
      </c>
      <c r="I12" s="41">
        <f>ROUND((E12-G12)*44/12,setup!$G$2)</f>
        <v>53.13</v>
      </c>
      <c r="J12" s="42">
        <f t="shared" si="0"/>
        <v>430.12794533918657</v>
      </c>
    </row>
    <row r="13" spans="1:17" x14ac:dyDescent="0.15">
      <c r="A13" s="31">
        <f>area!A13</f>
        <v>12</v>
      </c>
      <c r="B13" s="31" t="str">
        <f>area!B13</f>
        <v>T2</v>
      </c>
      <c r="C13" s="31" t="str">
        <f>area!C13</f>
        <v>WD</v>
      </c>
      <c r="D13" s="31" t="str">
        <f>area!D13</f>
        <v>CP_p</v>
      </c>
      <c r="E13" s="23">
        <f>VLOOKUP(C13, 'pivot-prepa EFRF'!$AE$7:$AG$26,2,FALSE)</f>
        <v>11.14</v>
      </c>
      <c r="F13" s="25">
        <f>VLOOKUP(C13, 'pivot-prepa EFRF'!$AE$7:$AG$26,3,FALSE)</f>
        <v>61.81</v>
      </c>
      <c r="G13" s="23">
        <f>VLOOKUP(D13, 'pivot-prepa EFRF'!$AE$7:$AG$26,2,FALSE)</f>
        <v>3.42</v>
      </c>
      <c r="H13" s="25">
        <f>VLOOKUP(D13, 'pivot-prepa EFRF'!$AE$7:$AG$26,3,FALSE)</f>
        <v>45.84</v>
      </c>
      <c r="I13" s="41">
        <f>ROUND((E13-G13)*44/12,setup!$G$2)</f>
        <v>28.31</v>
      </c>
      <c r="J13" s="42">
        <f t="shared" si="0"/>
        <v>91.474742071213043</v>
      </c>
    </row>
    <row r="14" spans="1:17" x14ac:dyDescent="0.15">
      <c r="A14" s="31">
        <f>area!A14</f>
        <v>13</v>
      </c>
      <c r="B14" s="31" t="str">
        <f>area!B14</f>
        <v>T2</v>
      </c>
      <c r="C14" s="31" t="str">
        <f>area!C14</f>
        <v>WD</v>
      </c>
      <c r="D14" s="31" t="str">
        <f>area!D14</f>
        <v>CP_a</v>
      </c>
      <c r="E14" s="23">
        <f>VLOOKUP(C14, 'pivot-prepa EFRF'!$AE$7:$AG$26,2,FALSE)</f>
        <v>11.14</v>
      </c>
      <c r="F14" s="25">
        <f>VLOOKUP(C14, 'pivot-prepa EFRF'!$AE$7:$AG$26,3,FALSE)</f>
        <v>61.81</v>
      </c>
      <c r="G14" s="23">
        <f>VLOOKUP(D14, 'pivot-prepa EFRF'!$AE$7:$AG$26,2,FALSE)</f>
        <v>4.7</v>
      </c>
      <c r="H14" s="25">
        <f>VLOOKUP(D14, 'pivot-prepa EFRF'!$AE$7:$AG$26,3,FALSE)</f>
        <v>84.41</v>
      </c>
      <c r="I14" s="41">
        <f>ROUND((E14-G14)*44/12,setup!$G$2)</f>
        <v>23.61</v>
      </c>
      <c r="J14" s="42">
        <f t="shared" si="0"/>
        <v>123.39708232306727</v>
      </c>
    </row>
    <row r="15" spans="1:17" x14ac:dyDescent="0.15">
      <c r="A15" s="31">
        <f>area!A15</f>
        <v>14</v>
      </c>
      <c r="B15" s="31" t="str">
        <f>area!B15</f>
        <v>T2</v>
      </c>
      <c r="C15" s="31" t="str">
        <f>area!C15</f>
        <v>WD</v>
      </c>
      <c r="D15" s="31" t="str">
        <f>area!D15</f>
        <v>GL</v>
      </c>
      <c r="E15" s="23">
        <f>VLOOKUP(C15, 'pivot-prepa EFRF'!$AE$7:$AG$26,2,FALSE)</f>
        <v>11.14</v>
      </c>
      <c r="F15" s="25">
        <f>VLOOKUP(C15, 'pivot-prepa EFRF'!$AE$7:$AG$26,3,FALSE)</f>
        <v>61.81</v>
      </c>
      <c r="G15" s="23">
        <f>VLOOKUP(D15, 'pivot-prepa EFRF'!$AE$7:$AG$26,2,FALSE)</f>
        <v>8.14</v>
      </c>
      <c r="H15" s="25">
        <f>VLOOKUP(D15, 'pivot-prepa EFRF'!$AE$7:$AG$26,3,FALSE)</f>
        <v>61.4</v>
      </c>
      <c r="I15" s="41">
        <f>ROUND((E15-G15)*44/12,setup!$G$2)</f>
        <v>11</v>
      </c>
      <c r="J15" s="42">
        <f t="shared" si="0"/>
        <v>283.61076563087113</v>
      </c>
    </row>
    <row r="16" spans="1:17" x14ac:dyDescent="0.15">
      <c r="A16" s="31">
        <f>area!A16</f>
        <v>15</v>
      </c>
      <c r="B16" s="31" t="str">
        <f>area!B16</f>
        <v>T2</v>
      </c>
      <c r="C16" s="31" t="str">
        <f>area!C16</f>
        <v>WD_log</v>
      </c>
      <c r="D16" s="31" t="str">
        <f>area!D16</f>
        <v>WD_log_deg</v>
      </c>
      <c r="E16" s="23">
        <f>VLOOKUP(C16, 'pivot-prepa EFRF'!$AE$7:$AG$26,2,FALSE)</f>
        <v>11.14</v>
      </c>
      <c r="F16" s="25">
        <f>VLOOKUP(C16, 'pivot-prepa EFRF'!$AE$7:$AG$26,3,FALSE)</f>
        <v>61.81</v>
      </c>
      <c r="G16" s="23">
        <f>VLOOKUP(D16, 'pivot-prepa EFRF'!$AE$7:$AG$26,2,FALSE)</f>
        <v>9.94</v>
      </c>
      <c r="H16" s="25">
        <f>VLOOKUP(D16, 'pivot-prepa EFRF'!$AE$7:$AG$26,3,FALSE)</f>
        <v>63.86</v>
      </c>
      <c r="I16" s="41">
        <f>ROUND((E16-G16)*44/12,setup!$G$2)</f>
        <v>4.4000000000000004</v>
      </c>
      <c r="J16" s="42">
        <f t="shared" si="0"/>
        <v>780.42477636742024</v>
      </c>
    </row>
    <row r="17" spans="1:10" x14ac:dyDescent="0.15">
      <c r="A17" s="31">
        <f>area!A17</f>
        <v>16</v>
      </c>
      <c r="B17" s="31" t="str">
        <f>area!B17</f>
        <v>T2</v>
      </c>
      <c r="C17" s="31" t="str">
        <f>area!C17</f>
        <v>FPc</v>
      </c>
      <c r="D17" s="31" t="str">
        <f>area!D17</f>
        <v>CP_a</v>
      </c>
      <c r="E17" s="23">
        <f>VLOOKUP(C17, 'pivot-prepa EFRF'!$AE$7:$AG$26,2,FALSE)</f>
        <v>56.92</v>
      </c>
      <c r="F17" s="25">
        <f>VLOOKUP(C17, 'pivot-prepa EFRF'!$AE$7:$AG$26,3,FALSE)</f>
        <v>35.479999999999997</v>
      </c>
      <c r="G17" s="23">
        <f>VLOOKUP(D17, 'pivot-prepa EFRF'!$AE$7:$AG$26,2,FALSE)</f>
        <v>4.7</v>
      </c>
      <c r="H17" s="25">
        <f>VLOOKUP(D17, 'pivot-prepa EFRF'!$AE$7:$AG$26,3,FALSE)</f>
        <v>84.41</v>
      </c>
      <c r="I17" s="41">
        <f>ROUND((E17-G17)*44/12,setup!$G$2)</f>
        <v>191.47</v>
      </c>
      <c r="J17" s="42">
        <f t="shared" si="0"/>
        <v>39.412494342012806</v>
      </c>
    </row>
    <row r="18" spans="1:10" x14ac:dyDescent="0.15">
      <c r="A18" s="31">
        <f>area!A18</f>
        <v>17</v>
      </c>
      <c r="B18" s="31" t="str">
        <f>area!B18</f>
        <v>T2</v>
      </c>
      <c r="C18" s="31" t="str">
        <f>area!C18</f>
        <v>FPnc</v>
      </c>
      <c r="D18" s="31" t="str">
        <f>area!D18</f>
        <v>CP_p</v>
      </c>
      <c r="E18" s="23">
        <f>VLOOKUP(C18, 'pivot-prepa EFRF'!$AE$7:$AG$26,2,FALSE)</f>
        <v>56.92</v>
      </c>
      <c r="F18" s="25">
        <f>VLOOKUP(C18, 'pivot-prepa EFRF'!$AE$7:$AG$26,3,FALSE)</f>
        <v>35.479999999999997</v>
      </c>
      <c r="G18" s="23">
        <f>VLOOKUP(D18, 'pivot-prepa EFRF'!$AE$7:$AG$26,2,FALSE)</f>
        <v>3.42</v>
      </c>
      <c r="H18" s="25">
        <f>VLOOKUP(D18, 'pivot-prepa EFRF'!$AE$7:$AG$26,3,FALSE)</f>
        <v>45.84</v>
      </c>
      <c r="I18" s="41">
        <f>ROUND((E18-G18)*44/12,setup!$G$2)</f>
        <v>196.17</v>
      </c>
      <c r="J18" s="42">
        <f t="shared" si="0"/>
        <v>37.861635383355271</v>
      </c>
    </row>
    <row r="19" spans="1:10" x14ac:dyDescent="0.15">
      <c r="A19" s="31">
        <f>area!A19</f>
        <v>18</v>
      </c>
      <c r="B19" s="31" t="str">
        <f>area!B19</f>
        <v>T3</v>
      </c>
      <c r="C19" s="31" t="str">
        <f>area!C19</f>
        <v>THF</v>
      </c>
      <c r="D19" s="31" t="str">
        <f>area!D19</f>
        <v>CP_p</v>
      </c>
      <c r="E19" s="23">
        <f>VLOOKUP(C19, 'pivot-prepa EFRF'!$AE$7:$AG$26,2,FALSE)</f>
        <v>134.16</v>
      </c>
      <c r="F19" s="25">
        <f>VLOOKUP(C19, 'pivot-prepa EFRF'!$AE$7:$AG$26,3,FALSE)</f>
        <v>32.979999999999997</v>
      </c>
      <c r="G19" s="23">
        <f>VLOOKUP(D19, 'pivot-prepa EFRF'!$AE$7:$AG$26,2,FALSE)</f>
        <v>3.42</v>
      </c>
      <c r="H19" s="25">
        <f>VLOOKUP(D19, 'pivot-prepa EFRF'!$AE$7:$AG$26,3,FALSE)</f>
        <v>45.84</v>
      </c>
      <c r="I19" s="41">
        <f>ROUND((E19-G19)*44/12,setup!$G$2)</f>
        <v>479.38</v>
      </c>
      <c r="J19" s="42">
        <f t="shared" si="0"/>
        <v>33.86395383490369</v>
      </c>
    </row>
    <row r="20" spans="1:10" x14ac:dyDescent="0.15">
      <c r="A20" s="31">
        <f>area!A20</f>
        <v>19</v>
      </c>
      <c r="B20" s="31" t="str">
        <f>area!B20</f>
        <v>T3</v>
      </c>
      <c r="C20" s="31" t="str">
        <f>area!C20</f>
        <v>WD</v>
      </c>
      <c r="D20" s="31" t="str">
        <f>area!D20</f>
        <v>CP_a</v>
      </c>
      <c r="E20" s="23">
        <f>VLOOKUP(C20, 'pivot-prepa EFRF'!$AE$7:$AG$26,2,FALSE)</f>
        <v>11.14</v>
      </c>
      <c r="F20" s="25">
        <f>VLOOKUP(C20, 'pivot-prepa EFRF'!$AE$7:$AG$26,3,FALSE)</f>
        <v>61.81</v>
      </c>
      <c r="G20" s="23">
        <f>VLOOKUP(D20, 'pivot-prepa EFRF'!$AE$7:$AG$26,2,FALSE)</f>
        <v>4.7</v>
      </c>
      <c r="H20" s="25">
        <f>VLOOKUP(D20, 'pivot-prepa EFRF'!$AE$7:$AG$26,3,FALSE)</f>
        <v>84.41</v>
      </c>
      <c r="I20" s="41">
        <f>ROUND((E20-G20)*44/12,setup!$G$2)</f>
        <v>23.61</v>
      </c>
      <c r="J20" s="42">
        <f t="shared" si="0"/>
        <v>123.39708232306727</v>
      </c>
    </row>
    <row r="21" spans="1:10" x14ac:dyDescent="0.15">
      <c r="A21" s="31">
        <f>area!A21</f>
        <v>20</v>
      </c>
      <c r="B21" s="31" t="str">
        <f>area!B21</f>
        <v>T3</v>
      </c>
      <c r="C21" s="31" t="str">
        <f>area!C21</f>
        <v>WD</v>
      </c>
      <c r="D21" s="31" t="str">
        <f>area!D21</f>
        <v>GL</v>
      </c>
      <c r="E21" s="23">
        <f>VLOOKUP(C21, 'pivot-prepa EFRF'!$AE$7:$AG$26,2,FALSE)</f>
        <v>11.14</v>
      </c>
      <c r="F21" s="25">
        <f>VLOOKUP(C21, 'pivot-prepa EFRF'!$AE$7:$AG$26,3,FALSE)</f>
        <v>61.81</v>
      </c>
      <c r="G21" s="23">
        <f>VLOOKUP(D21, 'pivot-prepa EFRF'!$AE$7:$AG$26,2,FALSE)</f>
        <v>8.14</v>
      </c>
      <c r="H21" s="25">
        <f>VLOOKUP(D21, 'pivot-prepa EFRF'!$AE$7:$AG$26,3,FALSE)</f>
        <v>61.4</v>
      </c>
      <c r="I21" s="41">
        <f>ROUND((E21-G21)*44/12,setup!$G$2)</f>
        <v>11</v>
      </c>
      <c r="J21" s="42">
        <f t="shared" si="0"/>
        <v>283.61076563087113</v>
      </c>
    </row>
    <row r="22" spans="1:10" x14ac:dyDescent="0.15">
      <c r="A22" s="31">
        <f>area!A22</f>
        <v>21</v>
      </c>
      <c r="B22" s="31" t="str">
        <f>area!B22</f>
        <v>T3</v>
      </c>
      <c r="C22" s="31" t="str">
        <f>area!C22</f>
        <v>WD_log</v>
      </c>
      <c r="D22" s="31" t="str">
        <f>area!D22</f>
        <v>WD_log_deg</v>
      </c>
      <c r="E22" s="23">
        <f>VLOOKUP(C22, 'pivot-prepa EFRF'!$AE$7:$AG$26,2,FALSE)</f>
        <v>11.14</v>
      </c>
      <c r="F22" s="25">
        <f>VLOOKUP(C22, 'pivot-prepa EFRF'!$AE$7:$AG$26,3,FALSE)</f>
        <v>61.81</v>
      </c>
      <c r="G22" s="23">
        <f>VLOOKUP(D22, 'pivot-prepa EFRF'!$AE$7:$AG$26,2,FALSE)</f>
        <v>9.94</v>
      </c>
      <c r="H22" s="25">
        <f>VLOOKUP(D22, 'pivot-prepa EFRF'!$AE$7:$AG$26,3,FALSE)</f>
        <v>63.86</v>
      </c>
      <c r="I22" s="41">
        <f>ROUND((E22-G22)*44/12,setup!$G$2)</f>
        <v>4.4000000000000004</v>
      </c>
      <c r="J22" s="42">
        <f t="shared" si="0"/>
        <v>780.42477636742024</v>
      </c>
    </row>
    <row r="23" spans="1:10" x14ac:dyDescent="0.15">
      <c r="A23" s="31">
        <f>area!A23</f>
        <v>22</v>
      </c>
      <c r="B23" s="31" t="str">
        <f>area!B23</f>
        <v>T3</v>
      </c>
      <c r="C23" s="31" t="str">
        <f>area!C23</f>
        <v>WD_charc</v>
      </c>
      <c r="D23" s="31" t="str">
        <f>area!D23</f>
        <v>WD_charc_deg</v>
      </c>
      <c r="E23" s="23">
        <f>VLOOKUP(C23, 'pivot-prepa EFRF'!$AE$7:$AG$26,2,FALSE)</f>
        <v>11.14</v>
      </c>
      <c r="F23" s="25">
        <f>VLOOKUP(C23, 'pivot-prepa EFRF'!$AE$7:$AG$26,3,FALSE)</f>
        <v>61.81</v>
      </c>
      <c r="G23" s="23">
        <f>VLOOKUP(D23, 'pivot-prepa EFRF'!$AE$7:$AG$26,2,FALSE)</f>
        <v>9.94</v>
      </c>
      <c r="H23" s="25">
        <f>VLOOKUP(D23, 'pivot-prepa EFRF'!$AE$7:$AG$26,3,FALSE)</f>
        <v>63.86</v>
      </c>
      <c r="I23" s="41">
        <f>ROUND((E23-G23)*44/12,setup!$G$2)</f>
        <v>4.4000000000000004</v>
      </c>
      <c r="J23" s="42">
        <f t="shared" si="0"/>
        <v>780.42477636742024</v>
      </c>
    </row>
    <row r="24" spans="1:10" x14ac:dyDescent="0.15">
      <c r="A24" s="31">
        <f>area!A24</f>
        <v>23</v>
      </c>
      <c r="B24" s="31" t="str">
        <f>area!B24</f>
        <v>T3</v>
      </c>
      <c r="C24" s="31" t="str">
        <f>area!C24</f>
        <v>WD_other</v>
      </c>
      <c r="D24" s="31" t="str">
        <f>area!D24</f>
        <v>WD_other_deg</v>
      </c>
      <c r="E24" s="23">
        <f>VLOOKUP(C24, 'pivot-prepa EFRF'!$AE$7:$AG$26,2,FALSE)</f>
        <v>11.14</v>
      </c>
      <c r="F24" s="25">
        <f>VLOOKUP(C24, 'pivot-prepa EFRF'!$AE$7:$AG$26,3,FALSE)</f>
        <v>61.81</v>
      </c>
      <c r="G24" s="23">
        <f>VLOOKUP(D24, 'pivot-prepa EFRF'!$AE$7:$AG$26,2,FALSE)</f>
        <v>8.8699999999999992</v>
      </c>
      <c r="H24" s="25">
        <f>VLOOKUP(D24, 'pivot-prepa EFRF'!$AE$7:$AG$26,3,FALSE)</f>
        <v>67.23</v>
      </c>
      <c r="I24" s="41">
        <f>ROUND((E24-G24)*44/12,setup!$G$2)</f>
        <v>8.32</v>
      </c>
      <c r="J24" s="42">
        <f t="shared" si="0"/>
        <v>401.27519569826086</v>
      </c>
    </row>
    <row r="25" spans="1:10" x14ac:dyDescent="0.15">
      <c r="A25" s="31">
        <f>area!A25</f>
        <v>24</v>
      </c>
      <c r="B25" s="31" t="str">
        <f>area!B25</f>
        <v>T3</v>
      </c>
      <c r="C25" s="31" t="str">
        <f>area!C25</f>
        <v>FPc</v>
      </c>
      <c r="D25" s="31" t="str">
        <f>area!D25</f>
        <v>GL</v>
      </c>
      <c r="E25" s="23">
        <f>VLOOKUP(C25, 'pivot-prepa EFRF'!$AE$7:$AG$26,2,FALSE)</f>
        <v>56.92</v>
      </c>
      <c r="F25" s="25">
        <f>VLOOKUP(C25, 'pivot-prepa EFRF'!$AE$7:$AG$26,3,FALSE)</f>
        <v>35.479999999999997</v>
      </c>
      <c r="G25" s="23">
        <f>VLOOKUP(D25, 'pivot-prepa EFRF'!$AE$7:$AG$26,2,FALSE)</f>
        <v>8.14</v>
      </c>
      <c r="H25" s="25">
        <f>VLOOKUP(D25, 'pivot-prepa EFRF'!$AE$7:$AG$26,3,FALSE)</f>
        <v>61.4</v>
      </c>
      <c r="I25" s="41">
        <f>ROUND((E25-G25)*44/12,setup!$G$2)</f>
        <v>178.86</v>
      </c>
      <c r="J25" s="42">
        <f t="shared" si="0"/>
        <v>42.649608790315959</v>
      </c>
    </row>
    <row r="26" spans="1:10" x14ac:dyDescent="0.15">
      <c r="A26" s="31">
        <f>area!A26</f>
        <v>25</v>
      </c>
      <c r="B26" s="31" t="str">
        <f>area!B26</f>
        <v>T3</v>
      </c>
      <c r="C26" s="31" t="str">
        <f>area!C26</f>
        <v>FPnc</v>
      </c>
      <c r="D26" s="31" t="str">
        <f>area!D26</f>
        <v>CP_a</v>
      </c>
      <c r="E26" s="23">
        <f>VLOOKUP(C26, 'pivot-prepa EFRF'!$AE$7:$AG$26,2,FALSE)</f>
        <v>56.92</v>
      </c>
      <c r="F26" s="25">
        <f>VLOOKUP(C26, 'pivot-prepa EFRF'!$AE$7:$AG$26,3,FALSE)</f>
        <v>35.479999999999997</v>
      </c>
      <c r="G26" s="23">
        <f>VLOOKUP(D26, 'pivot-prepa EFRF'!$AE$7:$AG$26,2,FALSE)</f>
        <v>4.7</v>
      </c>
      <c r="H26" s="25">
        <f>VLOOKUP(D26, 'pivot-prepa EFRF'!$AE$7:$AG$26,3,FALSE)</f>
        <v>84.41</v>
      </c>
      <c r="I26" s="41">
        <f>ROUND((E26-G26)*44/12,setup!$G$2)</f>
        <v>191.47</v>
      </c>
      <c r="J26" s="42">
        <f t="shared" si="0"/>
        <v>39.412494342012806</v>
      </c>
    </row>
    <row r="27" spans="1:10" x14ac:dyDescent="0.15">
      <c r="A27" s="31">
        <f>area!A27</f>
        <v>26</v>
      </c>
      <c r="B27" s="31" t="str">
        <f>area!B27</f>
        <v>T4</v>
      </c>
      <c r="C27" s="31" t="str">
        <f>area!C27</f>
        <v>THF</v>
      </c>
      <c r="D27" s="31" t="str">
        <f>area!D27</f>
        <v>FPc</v>
      </c>
      <c r="E27" s="23">
        <f>VLOOKUP(C27, 'pivot-prepa EFRF'!$AE$7:$AG$26,2,FALSE)</f>
        <v>134.16</v>
      </c>
      <c r="F27" s="25">
        <f>VLOOKUP(C27, 'pivot-prepa EFRF'!$AE$7:$AG$26,3,FALSE)</f>
        <v>32.979999999999997</v>
      </c>
      <c r="G27" s="23">
        <f>VLOOKUP(D27, 'pivot-prepa EFRF'!$AE$7:$AG$26,2,FALSE)</f>
        <v>56.92</v>
      </c>
      <c r="H27" s="25">
        <f>VLOOKUP(D27, 'pivot-prepa EFRF'!$AE$7:$AG$26,3,FALSE)</f>
        <v>35.479999999999997</v>
      </c>
      <c r="I27" s="41">
        <f>ROUND((E27-G27)*44/12,setup!$G$2)</f>
        <v>283.20999999999998</v>
      </c>
      <c r="J27" s="42">
        <f t="shared" si="0"/>
        <v>62.968598071208177</v>
      </c>
    </row>
    <row r="28" spans="1:10" x14ac:dyDescent="0.15">
      <c r="A28" s="31">
        <f>area!A28</f>
        <v>27</v>
      </c>
      <c r="B28" s="31" t="str">
        <f>area!B28</f>
        <v>T4</v>
      </c>
      <c r="C28" s="31" t="str">
        <f>area!C28</f>
        <v>THF</v>
      </c>
      <c r="D28" s="31" t="str">
        <f>area!D28</f>
        <v>CP_a</v>
      </c>
      <c r="E28" s="23">
        <f>VLOOKUP(C28, 'pivot-prepa EFRF'!$AE$7:$AG$26,2,FALSE)</f>
        <v>134.16</v>
      </c>
      <c r="F28" s="25">
        <f>VLOOKUP(C28, 'pivot-prepa EFRF'!$AE$7:$AG$26,3,FALSE)</f>
        <v>32.979999999999997</v>
      </c>
      <c r="G28" s="23">
        <f>VLOOKUP(D28, 'pivot-prepa EFRF'!$AE$7:$AG$26,2,FALSE)</f>
        <v>4.7</v>
      </c>
      <c r="H28" s="25">
        <f>VLOOKUP(D28, 'pivot-prepa EFRF'!$AE$7:$AG$26,3,FALSE)</f>
        <v>84.41</v>
      </c>
      <c r="I28" s="41">
        <f>ROUND((E28-G28)*44/12,setup!$G$2)</f>
        <v>474.69</v>
      </c>
      <c r="J28" s="42">
        <f t="shared" si="0"/>
        <v>34.314438879762903</v>
      </c>
    </row>
    <row r="29" spans="1:10" x14ac:dyDescent="0.15">
      <c r="A29" s="31">
        <f>area!A29</f>
        <v>28</v>
      </c>
      <c r="B29" s="31" t="str">
        <f>area!B29</f>
        <v>T4</v>
      </c>
      <c r="C29" s="31" t="str">
        <f>area!C29</f>
        <v>THF</v>
      </c>
      <c r="D29" s="31" t="str">
        <f>area!D29</f>
        <v>GL</v>
      </c>
      <c r="E29" s="23">
        <f>VLOOKUP(C29, 'pivot-prepa EFRF'!$AE$7:$AG$26,2,FALSE)</f>
        <v>134.16</v>
      </c>
      <c r="F29" s="25">
        <f>VLOOKUP(C29, 'pivot-prepa EFRF'!$AE$7:$AG$26,3,FALSE)</f>
        <v>32.979999999999997</v>
      </c>
      <c r="G29" s="23">
        <f>VLOOKUP(D29, 'pivot-prepa EFRF'!$AE$7:$AG$26,2,FALSE)</f>
        <v>8.14</v>
      </c>
      <c r="H29" s="25">
        <f>VLOOKUP(D29, 'pivot-prepa EFRF'!$AE$7:$AG$26,3,FALSE)</f>
        <v>61.4</v>
      </c>
      <c r="I29" s="41">
        <f>ROUND((E29-G29)*44/12,setup!$G$2)</f>
        <v>462.07</v>
      </c>
      <c r="J29" s="42">
        <f t="shared" si="0"/>
        <v>35.333561644007922</v>
      </c>
    </row>
    <row r="30" spans="1:10" x14ac:dyDescent="0.15">
      <c r="A30" s="31">
        <f>area!A30</f>
        <v>29</v>
      </c>
      <c r="B30" s="31" t="str">
        <f>area!B30</f>
        <v>T4</v>
      </c>
      <c r="C30" s="31" t="str">
        <f>area!C30</f>
        <v>WD</v>
      </c>
      <c r="D30" s="31" t="str">
        <f>area!D30</f>
        <v>CP_p</v>
      </c>
      <c r="E30" s="23">
        <f>VLOOKUP(C30, 'pivot-prepa EFRF'!$AE$7:$AG$26,2,FALSE)</f>
        <v>11.14</v>
      </c>
      <c r="F30" s="25">
        <f>VLOOKUP(C30, 'pivot-prepa EFRF'!$AE$7:$AG$26,3,FALSE)</f>
        <v>61.81</v>
      </c>
      <c r="G30" s="23">
        <f>VLOOKUP(D30, 'pivot-prepa EFRF'!$AE$7:$AG$26,2,FALSE)</f>
        <v>3.42</v>
      </c>
      <c r="H30" s="25">
        <f>VLOOKUP(D30, 'pivot-prepa EFRF'!$AE$7:$AG$26,3,FALSE)</f>
        <v>45.84</v>
      </c>
      <c r="I30" s="41">
        <f>ROUND((E30-G30)*44/12,setup!$G$2)</f>
        <v>28.31</v>
      </c>
      <c r="J30" s="42">
        <f t="shared" si="0"/>
        <v>91.474742071213043</v>
      </c>
    </row>
    <row r="31" spans="1:10" x14ac:dyDescent="0.15">
      <c r="A31" s="31">
        <f>area!A31</f>
        <v>30</v>
      </c>
      <c r="B31" s="31" t="str">
        <f>area!B31</f>
        <v>T4</v>
      </c>
      <c r="C31" s="31" t="str">
        <f>area!C31</f>
        <v>WD</v>
      </c>
      <c r="D31" s="31" t="str">
        <f>area!D31</f>
        <v>CP_a</v>
      </c>
      <c r="E31" s="23">
        <f>VLOOKUP(C31, 'pivot-prepa EFRF'!$AE$7:$AG$26,2,FALSE)</f>
        <v>11.14</v>
      </c>
      <c r="F31" s="25">
        <f>VLOOKUP(C31, 'pivot-prepa EFRF'!$AE$7:$AG$26,3,FALSE)</f>
        <v>61.81</v>
      </c>
      <c r="G31" s="23">
        <f>VLOOKUP(D31, 'pivot-prepa EFRF'!$AE$7:$AG$26,2,FALSE)</f>
        <v>4.7</v>
      </c>
      <c r="H31" s="25">
        <f>VLOOKUP(D31, 'pivot-prepa EFRF'!$AE$7:$AG$26,3,FALSE)</f>
        <v>84.41</v>
      </c>
      <c r="I31" s="41">
        <f>ROUND((E31-G31)*44/12,setup!$G$2)</f>
        <v>23.61</v>
      </c>
      <c r="J31" s="42">
        <f t="shared" si="0"/>
        <v>123.39708232306727</v>
      </c>
    </row>
    <row r="32" spans="1:10" x14ac:dyDescent="0.15">
      <c r="A32" s="31">
        <f>area!A32</f>
        <v>31</v>
      </c>
      <c r="B32" s="31" t="str">
        <f>area!B32</f>
        <v>T4</v>
      </c>
      <c r="C32" s="31" t="str">
        <f>area!C32</f>
        <v>WD</v>
      </c>
      <c r="D32" s="31" t="str">
        <f>area!D32</f>
        <v>GL</v>
      </c>
      <c r="E32" s="23">
        <f>VLOOKUP(C32, 'pivot-prepa EFRF'!$AE$7:$AG$26,2,FALSE)</f>
        <v>11.14</v>
      </c>
      <c r="F32" s="25">
        <f>VLOOKUP(C32, 'pivot-prepa EFRF'!$AE$7:$AG$26,3,FALSE)</f>
        <v>61.81</v>
      </c>
      <c r="G32" s="23">
        <f>VLOOKUP(D32, 'pivot-prepa EFRF'!$AE$7:$AG$26,2,FALSE)</f>
        <v>8.14</v>
      </c>
      <c r="H32" s="25">
        <f>VLOOKUP(D32, 'pivot-prepa EFRF'!$AE$7:$AG$26,3,FALSE)</f>
        <v>61.4</v>
      </c>
      <c r="I32" s="41">
        <f>ROUND((E32-G32)*44/12,setup!$G$2)</f>
        <v>11</v>
      </c>
      <c r="J32" s="42">
        <f t="shared" si="0"/>
        <v>283.61076563087113</v>
      </c>
    </row>
    <row r="33" spans="1:10" x14ac:dyDescent="0.15">
      <c r="A33" s="31">
        <f>area!A33</f>
        <v>32</v>
      </c>
      <c r="B33" s="31" t="str">
        <f>area!B33</f>
        <v>T4</v>
      </c>
      <c r="C33" s="31" t="str">
        <f>area!C33</f>
        <v>WD_fire</v>
      </c>
      <c r="D33" s="31" t="str">
        <f>area!D33</f>
        <v>WD_fire_deg</v>
      </c>
      <c r="E33" s="23">
        <f>VLOOKUP(C33, 'pivot-prepa EFRF'!$AE$7:$AG$26,2,FALSE)</f>
        <v>11.14</v>
      </c>
      <c r="F33" s="25">
        <f>VLOOKUP(C33, 'pivot-prepa EFRF'!$AE$7:$AG$26,3,FALSE)</f>
        <v>61.81</v>
      </c>
      <c r="G33" s="23">
        <f>VLOOKUP(D33, 'pivot-prepa EFRF'!$AE$7:$AG$26,2,FALSE)</f>
        <v>7.83</v>
      </c>
      <c r="H33" s="25">
        <f>VLOOKUP(D33, 'pivot-prepa EFRF'!$AE$7:$AG$26,3,FALSE)</f>
        <v>69.63</v>
      </c>
      <c r="I33" s="41">
        <f>ROUND((E33-G33)*44/12,setup!$G$2)</f>
        <v>12.14</v>
      </c>
      <c r="J33" s="42">
        <f t="shared" si="0"/>
        <v>265.33966972860395</v>
      </c>
    </row>
    <row r="34" spans="1:10" x14ac:dyDescent="0.15">
      <c r="A34" s="31">
        <f>area!A34</f>
        <v>33</v>
      </c>
      <c r="B34" s="31" t="str">
        <f>area!B34</f>
        <v>T4</v>
      </c>
      <c r="C34" s="31" t="str">
        <f>area!C34</f>
        <v>WD_log</v>
      </c>
      <c r="D34" s="31" t="str">
        <f>area!D34</f>
        <v>WD_log_deg</v>
      </c>
      <c r="E34" s="23">
        <f>VLOOKUP(C34, 'pivot-prepa EFRF'!$AE$7:$AG$26,2,FALSE)</f>
        <v>11.14</v>
      </c>
      <c r="F34" s="25">
        <f>VLOOKUP(C34, 'pivot-prepa EFRF'!$AE$7:$AG$26,3,FALSE)</f>
        <v>61.81</v>
      </c>
      <c r="G34" s="23">
        <f>VLOOKUP(D34, 'pivot-prepa EFRF'!$AE$7:$AG$26,2,FALSE)</f>
        <v>9.94</v>
      </c>
      <c r="H34" s="25">
        <f>VLOOKUP(D34, 'pivot-prepa EFRF'!$AE$7:$AG$26,3,FALSE)</f>
        <v>63.86</v>
      </c>
      <c r="I34" s="41">
        <f>ROUND((E34-G34)*44/12,setup!$G$2)</f>
        <v>4.4000000000000004</v>
      </c>
      <c r="J34" s="42">
        <f t="shared" si="0"/>
        <v>780.42477636742024</v>
      </c>
    </row>
    <row r="35" spans="1:10" x14ac:dyDescent="0.15">
      <c r="A35" s="31">
        <f>area!A35</f>
        <v>34</v>
      </c>
      <c r="B35" s="31" t="str">
        <f>area!B35</f>
        <v>T4</v>
      </c>
      <c r="C35" s="31" t="str">
        <f>area!C35</f>
        <v>FPc</v>
      </c>
      <c r="D35" s="31" t="str">
        <f>area!D35</f>
        <v>CP_a</v>
      </c>
      <c r="E35" s="23">
        <f>VLOOKUP(C35, 'pivot-prepa EFRF'!$AE$7:$AG$26,2,FALSE)</f>
        <v>56.92</v>
      </c>
      <c r="F35" s="25">
        <f>VLOOKUP(C35, 'pivot-prepa EFRF'!$AE$7:$AG$26,3,FALSE)</f>
        <v>35.479999999999997</v>
      </c>
      <c r="G35" s="23">
        <f>VLOOKUP(D35, 'pivot-prepa EFRF'!$AE$7:$AG$26,2,FALSE)</f>
        <v>4.7</v>
      </c>
      <c r="H35" s="25">
        <f>VLOOKUP(D35, 'pivot-prepa EFRF'!$AE$7:$AG$26,3,FALSE)</f>
        <v>84.41</v>
      </c>
      <c r="I35" s="41">
        <f>ROUND((E35-G35)*44/12,setup!$G$2)</f>
        <v>191.47</v>
      </c>
      <c r="J35" s="42">
        <f t="shared" si="0"/>
        <v>39.412494342012806</v>
      </c>
    </row>
    <row r="36" spans="1:10" x14ac:dyDescent="0.15">
      <c r="A36" s="31">
        <f>area!A36</f>
        <v>35</v>
      </c>
      <c r="B36" s="31" t="str">
        <f>area!B36</f>
        <v>T4</v>
      </c>
      <c r="C36" s="31" t="str">
        <f>area!C36</f>
        <v>FPnc</v>
      </c>
      <c r="D36" s="31" t="str">
        <f>area!D36</f>
        <v>CP_a</v>
      </c>
      <c r="E36" s="23">
        <f>VLOOKUP(C36, 'pivot-prepa EFRF'!$AE$7:$AG$26,2,FALSE)</f>
        <v>56.92</v>
      </c>
      <c r="F36" s="25">
        <f>VLOOKUP(C36, 'pivot-prepa EFRF'!$AE$7:$AG$26,3,FALSE)</f>
        <v>35.479999999999997</v>
      </c>
      <c r="G36" s="23">
        <f>VLOOKUP(D36, 'pivot-prepa EFRF'!$AE$7:$AG$26,2,FALSE)</f>
        <v>4.7</v>
      </c>
      <c r="H36" s="25">
        <f>VLOOKUP(D36, 'pivot-prepa EFRF'!$AE$7:$AG$26,3,FALSE)</f>
        <v>84.41</v>
      </c>
      <c r="I36" s="41">
        <f>ROUND((E36-G36)*44/12,setup!$G$2)</f>
        <v>191.47</v>
      </c>
      <c r="J36" s="42">
        <f t="shared" si="0"/>
        <v>39.412494342012806</v>
      </c>
    </row>
    <row r="37" spans="1:10" x14ac:dyDescent="0.15">
      <c r="A37" s="31">
        <f>area!A37</f>
        <v>36</v>
      </c>
      <c r="B37" s="31" t="str">
        <f>area!B37</f>
        <v>T5</v>
      </c>
      <c r="C37" s="31" t="str">
        <f>area!C37</f>
        <v>THF</v>
      </c>
      <c r="D37" s="31" t="str">
        <f>area!D37</f>
        <v>CP_p</v>
      </c>
      <c r="E37" s="23">
        <f>VLOOKUP(C37, 'pivot-prepa EFRF'!$AE$7:$AG$26,2,FALSE)</f>
        <v>134.16</v>
      </c>
      <c r="F37" s="25">
        <f>VLOOKUP(C37, 'pivot-prepa EFRF'!$AE$7:$AG$26,3,FALSE)</f>
        <v>32.979999999999997</v>
      </c>
      <c r="G37" s="23">
        <f>VLOOKUP(D37, 'pivot-prepa EFRF'!$AE$7:$AG$26,2,FALSE)</f>
        <v>3.42</v>
      </c>
      <c r="H37" s="25">
        <f>VLOOKUP(D37, 'pivot-prepa EFRF'!$AE$7:$AG$26,3,FALSE)</f>
        <v>45.84</v>
      </c>
      <c r="I37" s="41">
        <f>ROUND((E37-G37)*44/12,setup!$G$2)</f>
        <v>479.38</v>
      </c>
      <c r="J37" s="42">
        <f t="shared" si="0"/>
        <v>33.86395383490369</v>
      </c>
    </row>
    <row r="38" spans="1:10" x14ac:dyDescent="0.15">
      <c r="A38" s="31">
        <f>area!A38</f>
        <v>37</v>
      </c>
      <c r="B38" s="31" t="str">
        <f>area!B38</f>
        <v>T5</v>
      </c>
      <c r="C38" s="31" t="str">
        <f>area!C38</f>
        <v>THF</v>
      </c>
      <c r="D38" s="31" t="str">
        <f>area!D38</f>
        <v>CP_a</v>
      </c>
      <c r="E38" s="23">
        <f>VLOOKUP(C38, 'pivot-prepa EFRF'!$AE$7:$AG$26,2,FALSE)</f>
        <v>134.16</v>
      </c>
      <c r="F38" s="25">
        <f>VLOOKUP(C38, 'pivot-prepa EFRF'!$AE$7:$AG$26,3,FALSE)</f>
        <v>32.979999999999997</v>
      </c>
      <c r="G38" s="23">
        <f>VLOOKUP(D38, 'pivot-prepa EFRF'!$AE$7:$AG$26,2,FALSE)</f>
        <v>4.7</v>
      </c>
      <c r="H38" s="25">
        <f>VLOOKUP(D38, 'pivot-prepa EFRF'!$AE$7:$AG$26,3,FALSE)</f>
        <v>84.41</v>
      </c>
      <c r="I38" s="41">
        <f>ROUND((E38-G38)*44/12,setup!$G$2)</f>
        <v>474.69</v>
      </c>
      <c r="J38" s="42">
        <f t="shared" si="0"/>
        <v>34.314438879762903</v>
      </c>
    </row>
    <row r="39" spans="1:10" x14ac:dyDescent="0.15">
      <c r="A39" s="31">
        <f>area!A39</f>
        <v>38</v>
      </c>
      <c r="B39" s="31" t="str">
        <f>area!B39</f>
        <v>T5</v>
      </c>
      <c r="C39" s="31" t="str">
        <f>area!C39</f>
        <v>WD</v>
      </c>
      <c r="D39" s="31" t="str">
        <f>area!D39</f>
        <v>CP_a</v>
      </c>
      <c r="E39" s="23">
        <f>VLOOKUP(C39, 'pivot-prepa EFRF'!$AE$7:$AG$26,2,FALSE)</f>
        <v>11.14</v>
      </c>
      <c r="F39" s="25">
        <f>VLOOKUP(C39, 'pivot-prepa EFRF'!$AE$7:$AG$26,3,FALSE)</f>
        <v>61.81</v>
      </c>
      <c r="G39" s="23">
        <f>VLOOKUP(D39, 'pivot-prepa EFRF'!$AE$7:$AG$26,2,FALSE)</f>
        <v>4.7</v>
      </c>
      <c r="H39" s="25">
        <f>VLOOKUP(D39, 'pivot-prepa EFRF'!$AE$7:$AG$26,3,FALSE)</f>
        <v>84.41</v>
      </c>
      <c r="I39" s="41">
        <f>ROUND((E39-G39)*44/12,setup!$G$2)</f>
        <v>23.61</v>
      </c>
      <c r="J39" s="42">
        <f t="shared" si="0"/>
        <v>123.39708232306727</v>
      </c>
    </row>
    <row r="40" spans="1:10" x14ac:dyDescent="0.15">
      <c r="A40" s="31">
        <f>area!A40</f>
        <v>39</v>
      </c>
      <c r="B40" s="31" t="str">
        <f>area!B40</f>
        <v>T5</v>
      </c>
      <c r="C40" s="31" t="str">
        <f>area!C40</f>
        <v>WD</v>
      </c>
      <c r="D40" s="31" t="str">
        <f>area!D40</f>
        <v>GL</v>
      </c>
      <c r="E40" s="23">
        <f>VLOOKUP(C40, 'pivot-prepa EFRF'!$AE$7:$AG$26,2,FALSE)</f>
        <v>11.14</v>
      </c>
      <c r="F40" s="25">
        <f>VLOOKUP(C40, 'pivot-prepa EFRF'!$AE$7:$AG$26,3,FALSE)</f>
        <v>61.81</v>
      </c>
      <c r="G40" s="23">
        <f>VLOOKUP(D40, 'pivot-prepa EFRF'!$AE$7:$AG$26,2,FALSE)</f>
        <v>8.14</v>
      </c>
      <c r="H40" s="25">
        <f>VLOOKUP(D40, 'pivot-prepa EFRF'!$AE$7:$AG$26,3,FALSE)</f>
        <v>61.4</v>
      </c>
      <c r="I40" s="41">
        <f>ROUND((E40-G40)*44/12,setup!$G$2)</f>
        <v>11</v>
      </c>
      <c r="J40" s="42">
        <f t="shared" si="0"/>
        <v>283.61076563087113</v>
      </c>
    </row>
    <row r="41" spans="1:10" x14ac:dyDescent="0.15">
      <c r="A41" s="31">
        <f>area!A41</f>
        <v>40</v>
      </c>
      <c r="B41" s="31" t="str">
        <f>area!B41</f>
        <v>T5</v>
      </c>
      <c r="C41" s="31" t="str">
        <f>area!C41</f>
        <v>WD_log</v>
      </c>
      <c r="D41" s="31" t="str">
        <f>area!D41</f>
        <v>WD_log_deg</v>
      </c>
      <c r="E41" s="23">
        <f>VLOOKUP(C41, 'pivot-prepa EFRF'!$AE$7:$AG$26,2,FALSE)</f>
        <v>11.14</v>
      </c>
      <c r="F41" s="25">
        <f>VLOOKUP(C41, 'pivot-prepa EFRF'!$AE$7:$AG$26,3,FALSE)</f>
        <v>61.81</v>
      </c>
      <c r="G41" s="23">
        <f>VLOOKUP(D41, 'pivot-prepa EFRF'!$AE$7:$AG$26,2,FALSE)</f>
        <v>9.94</v>
      </c>
      <c r="H41" s="25">
        <f>VLOOKUP(D41, 'pivot-prepa EFRF'!$AE$7:$AG$26,3,FALSE)</f>
        <v>63.86</v>
      </c>
      <c r="I41" s="41">
        <f>ROUND((E41-G41)*44/12,setup!$G$2)</f>
        <v>4.4000000000000004</v>
      </c>
      <c r="J41" s="42">
        <f t="shared" si="0"/>
        <v>780.42477636742024</v>
      </c>
    </row>
    <row r="42" spans="1:10" x14ac:dyDescent="0.15">
      <c r="A42" s="31">
        <f>area!A42</f>
        <v>41</v>
      </c>
      <c r="B42" s="31" t="str">
        <f>area!B42</f>
        <v>T5</v>
      </c>
      <c r="C42" s="31" t="str">
        <f>area!C42</f>
        <v>WD_other</v>
      </c>
      <c r="D42" s="31" t="str">
        <f>area!D42</f>
        <v>WD_other_deg</v>
      </c>
      <c r="E42" s="23">
        <f>VLOOKUP(C42, 'pivot-prepa EFRF'!$AE$7:$AG$26,2,FALSE)</f>
        <v>11.14</v>
      </c>
      <c r="F42" s="25">
        <f>VLOOKUP(C42, 'pivot-prepa EFRF'!$AE$7:$AG$26,3,FALSE)</f>
        <v>61.81</v>
      </c>
      <c r="G42" s="23">
        <f>VLOOKUP(D42, 'pivot-prepa EFRF'!$AE$7:$AG$26,2,FALSE)</f>
        <v>8.8699999999999992</v>
      </c>
      <c r="H42" s="25">
        <f>VLOOKUP(D42, 'pivot-prepa EFRF'!$AE$7:$AG$26,3,FALSE)</f>
        <v>67.23</v>
      </c>
      <c r="I42" s="41">
        <f>ROUND((E42-G42)*44/12,setup!$G$2)</f>
        <v>8.32</v>
      </c>
      <c r="J42" s="42">
        <f t="shared" si="0"/>
        <v>401.27519569826086</v>
      </c>
    </row>
    <row r="43" spans="1:10" x14ac:dyDescent="0.15">
      <c r="A43" s="31">
        <f>area!A43</f>
        <v>42</v>
      </c>
      <c r="B43" s="31" t="str">
        <f>area!B43</f>
        <v>T5</v>
      </c>
      <c r="C43" s="31" t="str">
        <f>area!C43</f>
        <v>FPc</v>
      </c>
      <c r="D43" s="31" t="str">
        <f>area!D43</f>
        <v>CP_a</v>
      </c>
      <c r="E43" s="23">
        <f>VLOOKUP(C43, 'pivot-prepa EFRF'!$AE$7:$AG$26,2,FALSE)</f>
        <v>56.92</v>
      </c>
      <c r="F43" s="25">
        <f>VLOOKUP(C43, 'pivot-prepa EFRF'!$AE$7:$AG$26,3,FALSE)</f>
        <v>35.479999999999997</v>
      </c>
      <c r="G43" s="23">
        <f>VLOOKUP(D43, 'pivot-prepa EFRF'!$AE$7:$AG$26,2,FALSE)</f>
        <v>4.7</v>
      </c>
      <c r="H43" s="25">
        <f>VLOOKUP(D43, 'pivot-prepa EFRF'!$AE$7:$AG$26,3,FALSE)</f>
        <v>84.41</v>
      </c>
      <c r="I43" s="41">
        <f>ROUND((E43-G43)*44/12,setup!$G$2)</f>
        <v>191.47</v>
      </c>
      <c r="J43" s="42">
        <f t="shared" si="0"/>
        <v>39.412494342012806</v>
      </c>
    </row>
    <row r="44" spans="1:10" x14ac:dyDescent="0.15">
      <c r="A44" s="31">
        <f>area!A44</f>
        <v>43</v>
      </c>
      <c r="B44" s="31" t="str">
        <f>area!B44</f>
        <v>T5</v>
      </c>
      <c r="C44" s="31" t="str">
        <f>area!C44</f>
        <v>FPc</v>
      </c>
      <c r="D44" s="31" t="str">
        <f>area!D44</f>
        <v>GL</v>
      </c>
      <c r="E44" s="23">
        <f>VLOOKUP(C44, 'pivot-prepa EFRF'!$AE$7:$AG$26,2,FALSE)</f>
        <v>56.92</v>
      </c>
      <c r="F44" s="25">
        <f>VLOOKUP(C44, 'pivot-prepa EFRF'!$AE$7:$AG$26,3,FALSE)</f>
        <v>35.479999999999997</v>
      </c>
      <c r="G44" s="23">
        <f>VLOOKUP(D44, 'pivot-prepa EFRF'!$AE$7:$AG$26,2,FALSE)</f>
        <v>8.14</v>
      </c>
      <c r="H44" s="25">
        <f>VLOOKUP(D44, 'pivot-prepa EFRF'!$AE$7:$AG$26,3,FALSE)</f>
        <v>61.4</v>
      </c>
      <c r="I44" s="41">
        <f>ROUND((E44-G44)*44/12,setup!$G$2)</f>
        <v>178.86</v>
      </c>
      <c r="J44" s="42">
        <f t="shared" si="0"/>
        <v>42.649608790315959</v>
      </c>
    </row>
    <row r="45" spans="1:10" x14ac:dyDescent="0.15">
      <c r="A45" s="31">
        <f>area!A45</f>
        <v>44</v>
      </c>
      <c r="B45" s="31" t="str">
        <f>area!B45</f>
        <v>T5</v>
      </c>
      <c r="C45" s="31" t="str">
        <f>area!C45</f>
        <v>FPnc</v>
      </c>
      <c r="D45" s="31" t="str">
        <f>area!D45</f>
        <v>CP_a</v>
      </c>
      <c r="E45" s="23">
        <f>VLOOKUP(C45, 'pivot-prepa EFRF'!$AE$7:$AG$26,2,FALSE)</f>
        <v>56.92</v>
      </c>
      <c r="F45" s="25">
        <f>VLOOKUP(C45, 'pivot-prepa EFRF'!$AE$7:$AG$26,3,FALSE)</f>
        <v>35.479999999999997</v>
      </c>
      <c r="G45" s="23">
        <f>VLOOKUP(D45, 'pivot-prepa EFRF'!$AE$7:$AG$26,2,FALSE)</f>
        <v>4.7</v>
      </c>
      <c r="H45" s="25">
        <f>VLOOKUP(D45, 'pivot-prepa EFRF'!$AE$7:$AG$26,3,FALSE)</f>
        <v>84.41</v>
      </c>
      <c r="I45" s="41">
        <f>ROUND((E45-G45)*44/12,setup!$G$2)</f>
        <v>191.47</v>
      </c>
      <c r="J45" s="42">
        <f t="shared" si="0"/>
        <v>39.412494342012806</v>
      </c>
    </row>
    <row r="46" spans="1:10" x14ac:dyDescent="0.15">
      <c r="A46" s="31">
        <f>area!A46</f>
        <v>45</v>
      </c>
      <c r="B46" s="31" t="str">
        <f>area!B46</f>
        <v>T5</v>
      </c>
      <c r="C46" s="31" t="str">
        <f>area!C46</f>
        <v>FPnc</v>
      </c>
      <c r="D46" s="31" t="str">
        <f>area!D46</f>
        <v>GL</v>
      </c>
      <c r="E46" s="23">
        <f>VLOOKUP(C46, 'pivot-prepa EFRF'!$AE$7:$AG$26,2,FALSE)</f>
        <v>56.92</v>
      </c>
      <c r="F46" s="25">
        <f>VLOOKUP(C46, 'pivot-prepa EFRF'!$AE$7:$AG$26,3,FALSE)</f>
        <v>35.479999999999997</v>
      </c>
      <c r="G46" s="23">
        <f>VLOOKUP(D46, 'pivot-prepa EFRF'!$AE$7:$AG$26,2,FALSE)</f>
        <v>8.14</v>
      </c>
      <c r="H46" s="25">
        <f>VLOOKUP(D46, 'pivot-prepa EFRF'!$AE$7:$AG$26,3,FALSE)</f>
        <v>61.4</v>
      </c>
      <c r="I46" s="41">
        <f>ROUND((E46-G46)*44/12,setup!$G$2)</f>
        <v>178.86</v>
      </c>
      <c r="J46" s="42">
        <f t="shared" si="0"/>
        <v>42.649608790315959</v>
      </c>
    </row>
    <row r="47" spans="1:10" x14ac:dyDescent="0.15">
      <c r="A47" s="31">
        <f>area!A47</f>
        <v>46</v>
      </c>
      <c r="B47" s="31" t="str">
        <f>area!B47</f>
        <v>T6</v>
      </c>
      <c r="C47" s="31" t="str">
        <f>area!C47</f>
        <v>THF</v>
      </c>
      <c r="D47" s="31" t="str">
        <f>area!D47</f>
        <v>CP_a</v>
      </c>
      <c r="E47" s="23">
        <f>VLOOKUP(C47, 'pivot-prepa EFRF'!$AE$7:$AG$26,2,FALSE)</f>
        <v>134.16</v>
      </c>
      <c r="F47" s="25">
        <f>VLOOKUP(C47, 'pivot-prepa EFRF'!$AE$7:$AG$26,3,FALSE)</f>
        <v>32.979999999999997</v>
      </c>
      <c r="G47" s="23">
        <f>VLOOKUP(D47, 'pivot-prepa EFRF'!$AE$7:$AG$26,2,FALSE)</f>
        <v>4.7</v>
      </c>
      <c r="H47" s="25">
        <f>VLOOKUP(D47, 'pivot-prepa EFRF'!$AE$7:$AG$26,3,FALSE)</f>
        <v>84.41</v>
      </c>
      <c r="I47" s="41">
        <f>ROUND((E47-G47)*44/12,setup!$G$2)</f>
        <v>474.69</v>
      </c>
      <c r="J47" s="42">
        <f t="shared" si="0"/>
        <v>34.314438879762903</v>
      </c>
    </row>
    <row r="48" spans="1:10" x14ac:dyDescent="0.15">
      <c r="A48" s="31">
        <f>area!A48</f>
        <v>47</v>
      </c>
      <c r="B48" s="31" t="str">
        <f>area!B48</f>
        <v>T6</v>
      </c>
      <c r="C48" s="31" t="str">
        <f>area!C48</f>
        <v>THF</v>
      </c>
      <c r="D48" s="31" t="str">
        <f>area!D48</f>
        <v>GL</v>
      </c>
      <c r="E48" s="23">
        <f>VLOOKUP(C48, 'pivot-prepa EFRF'!$AE$7:$AG$26,2,FALSE)</f>
        <v>134.16</v>
      </c>
      <c r="F48" s="25">
        <f>VLOOKUP(C48, 'pivot-prepa EFRF'!$AE$7:$AG$26,3,FALSE)</f>
        <v>32.979999999999997</v>
      </c>
      <c r="G48" s="23">
        <f>VLOOKUP(D48, 'pivot-prepa EFRF'!$AE$7:$AG$26,2,FALSE)</f>
        <v>8.14</v>
      </c>
      <c r="H48" s="25">
        <f>VLOOKUP(D48, 'pivot-prepa EFRF'!$AE$7:$AG$26,3,FALSE)</f>
        <v>61.4</v>
      </c>
      <c r="I48" s="41">
        <f>ROUND((E48-G48)*44/12,setup!$G$2)</f>
        <v>462.07</v>
      </c>
      <c r="J48" s="42">
        <f t="shared" si="0"/>
        <v>35.333561644007922</v>
      </c>
    </row>
    <row r="49" spans="1:10" x14ac:dyDescent="0.15">
      <c r="A49" s="31">
        <f>area!A49</f>
        <v>48</v>
      </c>
      <c r="B49" s="31" t="str">
        <f>area!B49</f>
        <v>T6</v>
      </c>
      <c r="C49" s="31" t="str">
        <f>area!C49</f>
        <v>WD</v>
      </c>
      <c r="D49" s="31" t="str">
        <f>area!D49</f>
        <v>CP_a</v>
      </c>
      <c r="E49" s="23">
        <f>VLOOKUP(C49, 'pivot-prepa EFRF'!$AE$7:$AG$26,2,FALSE)</f>
        <v>11.14</v>
      </c>
      <c r="F49" s="25">
        <f>VLOOKUP(C49, 'pivot-prepa EFRF'!$AE$7:$AG$26,3,FALSE)</f>
        <v>61.81</v>
      </c>
      <c r="G49" s="23">
        <f>VLOOKUP(D49, 'pivot-prepa EFRF'!$AE$7:$AG$26,2,FALSE)</f>
        <v>4.7</v>
      </c>
      <c r="H49" s="25">
        <f>VLOOKUP(D49, 'pivot-prepa EFRF'!$AE$7:$AG$26,3,FALSE)</f>
        <v>84.41</v>
      </c>
      <c r="I49" s="41">
        <f>ROUND((E49-G49)*44/12,setup!$G$2)</f>
        <v>23.61</v>
      </c>
      <c r="J49" s="42">
        <f t="shared" si="0"/>
        <v>123.39708232306727</v>
      </c>
    </row>
    <row r="50" spans="1:10" x14ac:dyDescent="0.15">
      <c r="A50" s="31">
        <f>area!A50</f>
        <v>49</v>
      </c>
      <c r="B50" s="31" t="str">
        <f>area!B50</f>
        <v>T6</v>
      </c>
      <c r="C50" s="31" t="str">
        <f>area!C50</f>
        <v>WD</v>
      </c>
      <c r="D50" s="31" t="str">
        <f>area!D50</f>
        <v>GL</v>
      </c>
      <c r="E50" s="23">
        <f>VLOOKUP(C50, 'pivot-prepa EFRF'!$AE$7:$AG$26,2,FALSE)</f>
        <v>11.14</v>
      </c>
      <c r="F50" s="25">
        <f>VLOOKUP(C50, 'pivot-prepa EFRF'!$AE$7:$AG$26,3,FALSE)</f>
        <v>61.81</v>
      </c>
      <c r="G50" s="23">
        <f>VLOOKUP(D50, 'pivot-prepa EFRF'!$AE$7:$AG$26,2,FALSE)</f>
        <v>8.14</v>
      </c>
      <c r="H50" s="25">
        <f>VLOOKUP(D50, 'pivot-prepa EFRF'!$AE$7:$AG$26,3,FALSE)</f>
        <v>61.4</v>
      </c>
      <c r="I50" s="41">
        <f>ROUND((E50-G50)*44/12,setup!$G$2)</f>
        <v>11</v>
      </c>
      <c r="J50" s="42">
        <f t="shared" si="0"/>
        <v>283.61076563087113</v>
      </c>
    </row>
    <row r="51" spans="1:10" x14ac:dyDescent="0.15">
      <c r="A51" s="31">
        <f>area!A51</f>
        <v>50</v>
      </c>
      <c r="B51" s="31" t="str">
        <f>area!B51</f>
        <v>T6</v>
      </c>
      <c r="C51" s="31" t="str">
        <f>area!C51</f>
        <v>WD_fire</v>
      </c>
      <c r="D51" s="31" t="str">
        <f>area!D51</f>
        <v>WD_fire_deg</v>
      </c>
      <c r="E51" s="23">
        <f>VLOOKUP(C51, 'pivot-prepa EFRF'!$AE$7:$AG$26,2,FALSE)</f>
        <v>11.14</v>
      </c>
      <c r="F51" s="25">
        <f>VLOOKUP(C51, 'pivot-prepa EFRF'!$AE$7:$AG$26,3,FALSE)</f>
        <v>61.81</v>
      </c>
      <c r="G51" s="23">
        <f>VLOOKUP(D51, 'pivot-prepa EFRF'!$AE$7:$AG$26,2,FALSE)</f>
        <v>7.83</v>
      </c>
      <c r="H51" s="25">
        <f>VLOOKUP(D51, 'pivot-prepa EFRF'!$AE$7:$AG$26,3,FALSE)</f>
        <v>69.63</v>
      </c>
      <c r="I51" s="41">
        <f>ROUND((E51-G51)*44/12,setup!$G$2)</f>
        <v>12.14</v>
      </c>
      <c r="J51" s="42">
        <f t="shared" si="0"/>
        <v>265.33966972860395</v>
      </c>
    </row>
    <row r="52" spans="1:10" x14ac:dyDescent="0.15">
      <c r="A52" s="31">
        <f>area!A52</f>
        <v>51</v>
      </c>
      <c r="B52" s="31" t="str">
        <f>area!B52</f>
        <v>T6</v>
      </c>
      <c r="C52" s="31" t="str">
        <f>area!C52</f>
        <v>WD_log</v>
      </c>
      <c r="D52" s="31" t="str">
        <f>area!D52</f>
        <v>WD_log_deg</v>
      </c>
      <c r="E52" s="23">
        <f>VLOOKUP(C52, 'pivot-prepa EFRF'!$AE$7:$AG$26,2,FALSE)</f>
        <v>11.14</v>
      </c>
      <c r="F52" s="25">
        <f>VLOOKUP(C52, 'pivot-prepa EFRF'!$AE$7:$AG$26,3,FALSE)</f>
        <v>61.81</v>
      </c>
      <c r="G52" s="23">
        <f>VLOOKUP(D52, 'pivot-prepa EFRF'!$AE$7:$AG$26,2,FALSE)</f>
        <v>9.94</v>
      </c>
      <c r="H52" s="25">
        <f>VLOOKUP(D52, 'pivot-prepa EFRF'!$AE$7:$AG$26,3,FALSE)</f>
        <v>63.86</v>
      </c>
      <c r="I52" s="41">
        <f>ROUND((E52-G52)*44/12,setup!$G$2)</f>
        <v>4.4000000000000004</v>
      </c>
      <c r="J52" s="42">
        <f t="shared" si="0"/>
        <v>780.42477636742024</v>
      </c>
    </row>
    <row r="53" spans="1:10" x14ac:dyDescent="0.15">
      <c r="A53" s="31">
        <f>area!A53</f>
        <v>52</v>
      </c>
      <c r="B53" s="31" t="str">
        <f>area!B53</f>
        <v>T6</v>
      </c>
      <c r="C53" s="31" t="str">
        <f>area!C53</f>
        <v>WD_other</v>
      </c>
      <c r="D53" s="31" t="str">
        <f>area!D53</f>
        <v>WD_other_deg</v>
      </c>
      <c r="E53" s="23">
        <f>VLOOKUP(C53, 'pivot-prepa EFRF'!$AE$7:$AG$26,2,FALSE)</f>
        <v>11.14</v>
      </c>
      <c r="F53" s="25">
        <f>VLOOKUP(C53, 'pivot-prepa EFRF'!$AE$7:$AG$26,3,FALSE)</f>
        <v>61.81</v>
      </c>
      <c r="G53" s="23">
        <f>VLOOKUP(D53, 'pivot-prepa EFRF'!$AE$7:$AG$26,2,FALSE)</f>
        <v>8.8699999999999992</v>
      </c>
      <c r="H53" s="25">
        <f>VLOOKUP(D53, 'pivot-prepa EFRF'!$AE$7:$AG$26,3,FALSE)</f>
        <v>67.23</v>
      </c>
      <c r="I53" s="41">
        <f>ROUND((E53-G53)*44/12,setup!$G$2)</f>
        <v>8.32</v>
      </c>
      <c r="J53" s="42">
        <f t="shared" si="0"/>
        <v>401.27519569826086</v>
      </c>
    </row>
    <row r="54" spans="1:10" x14ac:dyDescent="0.15">
      <c r="A54" s="31">
        <f>area!A54</f>
        <v>53</v>
      </c>
      <c r="B54" s="31" t="str">
        <f>area!B54</f>
        <v>T6</v>
      </c>
      <c r="C54" s="31" t="str">
        <f>area!C54</f>
        <v>FPc</v>
      </c>
      <c r="D54" s="31" t="str">
        <f>area!D54</f>
        <v>CP_a</v>
      </c>
      <c r="E54" s="23">
        <f>VLOOKUP(C54, 'pivot-prepa EFRF'!$AE$7:$AG$26,2,FALSE)</f>
        <v>56.92</v>
      </c>
      <c r="F54" s="25">
        <f>VLOOKUP(C54, 'pivot-prepa EFRF'!$AE$7:$AG$26,3,FALSE)</f>
        <v>35.479999999999997</v>
      </c>
      <c r="G54" s="23">
        <f>VLOOKUP(D54, 'pivot-prepa EFRF'!$AE$7:$AG$26,2,FALSE)</f>
        <v>4.7</v>
      </c>
      <c r="H54" s="25">
        <f>VLOOKUP(D54, 'pivot-prepa EFRF'!$AE$7:$AG$26,3,FALSE)</f>
        <v>84.41</v>
      </c>
      <c r="I54" s="41">
        <f>ROUND((E54-G54)*44/12,setup!$G$2)</f>
        <v>191.47</v>
      </c>
      <c r="J54" s="42">
        <f t="shared" si="0"/>
        <v>39.412494342012806</v>
      </c>
    </row>
    <row r="55" spans="1:10" x14ac:dyDescent="0.15">
      <c r="A55" s="31">
        <f>area!A55</f>
        <v>54</v>
      </c>
      <c r="B55" s="31" t="str">
        <f>area!B55</f>
        <v>T6</v>
      </c>
      <c r="C55" s="31" t="str">
        <f>area!C55</f>
        <v>FPnc</v>
      </c>
      <c r="D55" s="31" t="str">
        <f>area!D55</f>
        <v>CP_a</v>
      </c>
      <c r="E55" s="23">
        <f>VLOOKUP(C55, 'pivot-prepa EFRF'!$AE$7:$AG$26,2,FALSE)</f>
        <v>56.92</v>
      </c>
      <c r="F55" s="25">
        <f>VLOOKUP(C55, 'pivot-prepa EFRF'!$AE$7:$AG$26,3,FALSE)</f>
        <v>35.479999999999997</v>
      </c>
      <c r="G55" s="23">
        <f>VLOOKUP(D55, 'pivot-prepa EFRF'!$AE$7:$AG$26,2,FALSE)</f>
        <v>4.7</v>
      </c>
      <c r="H55" s="25">
        <f>VLOOKUP(D55, 'pivot-prepa EFRF'!$AE$7:$AG$26,3,FALSE)</f>
        <v>84.41</v>
      </c>
      <c r="I55" s="41">
        <f>ROUND((E55-G55)*44/12,setup!$G$2)</f>
        <v>191.47</v>
      </c>
      <c r="J55" s="42">
        <f t="shared" si="0"/>
        <v>39.412494342012806</v>
      </c>
    </row>
    <row r="56" spans="1:10" x14ac:dyDescent="0.15">
      <c r="A56" s="31">
        <f>area!A56</f>
        <v>55</v>
      </c>
      <c r="B56" s="31" t="str">
        <f>area!B56</f>
        <v>T6</v>
      </c>
      <c r="C56" s="31" t="str">
        <f>area!C56</f>
        <v>FPnc</v>
      </c>
      <c r="D56" s="31" t="str">
        <f>area!D56</f>
        <v>GL</v>
      </c>
      <c r="E56" s="23">
        <f>VLOOKUP(C56, 'pivot-prepa EFRF'!$AE$7:$AG$26,2,FALSE)</f>
        <v>56.92</v>
      </c>
      <c r="F56" s="25">
        <f>VLOOKUP(C56, 'pivot-prepa EFRF'!$AE$7:$AG$26,3,FALSE)</f>
        <v>35.479999999999997</v>
      </c>
      <c r="G56" s="23">
        <f>VLOOKUP(D56, 'pivot-prepa EFRF'!$AE$7:$AG$26,2,FALSE)</f>
        <v>8.14</v>
      </c>
      <c r="H56" s="25">
        <f>VLOOKUP(D56, 'pivot-prepa EFRF'!$AE$7:$AG$26,3,FALSE)</f>
        <v>61.4</v>
      </c>
      <c r="I56" s="41">
        <f>ROUND((E56-G56)*44/12,setup!$G$2)</f>
        <v>178.86</v>
      </c>
      <c r="J56" s="42">
        <f t="shared" si="0"/>
        <v>42.649608790315959</v>
      </c>
    </row>
    <row r="57" spans="1:10" x14ac:dyDescent="0.15">
      <c r="A57" s="31">
        <f>area!A57</f>
        <v>56</v>
      </c>
      <c r="B57" s="31" t="str">
        <f>area!B57</f>
        <v>T7</v>
      </c>
      <c r="C57" s="31" t="str">
        <f>area!C57</f>
        <v>THF</v>
      </c>
      <c r="D57" s="31" t="str">
        <f>area!D57</f>
        <v>CP_a</v>
      </c>
      <c r="E57" s="23">
        <f>VLOOKUP(C57, 'pivot-prepa EFRF'!$AE$7:$AG$26,2,FALSE)</f>
        <v>134.16</v>
      </c>
      <c r="F57" s="25">
        <f>VLOOKUP(C57, 'pivot-prepa EFRF'!$AE$7:$AG$26,3,FALSE)</f>
        <v>32.979999999999997</v>
      </c>
      <c r="G57" s="23">
        <f>VLOOKUP(D57, 'pivot-prepa EFRF'!$AE$7:$AG$26,2,FALSE)</f>
        <v>4.7</v>
      </c>
      <c r="H57" s="25">
        <f>VLOOKUP(D57, 'pivot-prepa EFRF'!$AE$7:$AG$26,3,FALSE)</f>
        <v>84.41</v>
      </c>
      <c r="I57" s="41">
        <f>ROUND((E57-G57)*44/12,setup!$G$2)</f>
        <v>474.69</v>
      </c>
      <c r="J57" s="42">
        <f t="shared" si="0"/>
        <v>34.314438879762903</v>
      </c>
    </row>
    <row r="58" spans="1:10" x14ac:dyDescent="0.15">
      <c r="A58" s="31">
        <f>area!A58</f>
        <v>57</v>
      </c>
      <c r="B58" s="31" t="str">
        <f>area!B58</f>
        <v>T7</v>
      </c>
      <c r="C58" s="31" t="str">
        <f>area!C58</f>
        <v>THF</v>
      </c>
      <c r="D58" s="31" t="str">
        <f>area!D58</f>
        <v>GL</v>
      </c>
      <c r="E58" s="23">
        <f>VLOOKUP(C58, 'pivot-prepa EFRF'!$AE$7:$AG$26,2,FALSE)</f>
        <v>134.16</v>
      </c>
      <c r="F58" s="25">
        <f>VLOOKUP(C58, 'pivot-prepa EFRF'!$AE$7:$AG$26,3,FALSE)</f>
        <v>32.979999999999997</v>
      </c>
      <c r="G58" s="23">
        <f>VLOOKUP(D58, 'pivot-prepa EFRF'!$AE$7:$AG$26,2,FALSE)</f>
        <v>8.14</v>
      </c>
      <c r="H58" s="25">
        <f>VLOOKUP(D58, 'pivot-prepa EFRF'!$AE$7:$AG$26,3,FALSE)</f>
        <v>61.4</v>
      </c>
      <c r="I58" s="41">
        <f>ROUND((E58-G58)*44/12,setup!$G$2)</f>
        <v>462.07</v>
      </c>
      <c r="J58" s="42">
        <f t="shared" si="0"/>
        <v>35.333561644007922</v>
      </c>
    </row>
    <row r="59" spans="1:10" x14ac:dyDescent="0.15">
      <c r="A59" s="31">
        <f>area!A59</f>
        <v>58</v>
      </c>
      <c r="B59" s="31" t="str">
        <f>area!B59</f>
        <v>T7</v>
      </c>
      <c r="C59" s="31" t="str">
        <f>area!C59</f>
        <v>THF_otha</v>
      </c>
      <c r="D59" s="31" t="str">
        <f>area!D59</f>
        <v>THF_otha_deg</v>
      </c>
      <c r="E59" s="23">
        <f>VLOOKUP(C59, 'pivot-prepa EFRF'!$AE$7:$AG$26,2,FALSE)</f>
        <v>134.16</v>
      </c>
      <c r="F59" s="25">
        <f>VLOOKUP(C59, 'pivot-prepa EFRF'!$AE$7:$AG$26,3,FALSE)</f>
        <v>32.979999999999997</v>
      </c>
      <c r="G59" s="23">
        <f>VLOOKUP(D59, 'pivot-prepa EFRF'!$AE$7:$AG$26,2,FALSE)</f>
        <v>106.79</v>
      </c>
      <c r="H59" s="25">
        <f>VLOOKUP(D59, 'pivot-prepa EFRF'!$AE$7:$AG$26,3,FALSE)</f>
        <v>42.28</v>
      </c>
      <c r="I59" s="41">
        <f>ROUND((E59-G59)*44/12,setup!$G$2)</f>
        <v>100.36</v>
      </c>
      <c r="J59" s="42">
        <f t="shared" si="0"/>
        <v>230.96933613064903</v>
      </c>
    </row>
    <row r="60" spans="1:10" x14ac:dyDescent="0.15">
      <c r="A60" s="31">
        <f>area!A60</f>
        <v>59</v>
      </c>
      <c r="B60" s="31" t="str">
        <f>area!B60</f>
        <v>T7</v>
      </c>
      <c r="C60" s="31" t="str">
        <f>area!C60</f>
        <v>WD</v>
      </c>
      <c r="D60" s="31" t="str">
        <f>area!D60</f>
        <v>CP_a</v>
      </c>
      <c r="E60" s="23">
        <f>VLOOKUP(C60, 'pivot-prepa EFRF'!$AE$7:$AG$26,2,FALSE)</f>
        <v>11.14</v>
      </c>
      <c r="F60" s="25">
        <f>VLOOKUP(C60, 'pivot-prepa EFRF'!$AE$7:$AG$26,3,FALSE)</f>
        <v>61.81</v>
      </c>
      <c r="G60" s="23">
        <f>VLOOKUP(D60, 'pivot-prepa EFRF'!$AE$7:$AG$26,2,FALSE)</f>
        <v>4.7</v>
      </c>
      <c r="H60" s="25">
        <f>VLOOKUP(D60, 'pivot-prepa EFRF'!$AE$7:$AG$26,3,FALSE)</f>
        <v>84.41</v>
      </c>
      <c r="I60" s="41">
        <f>ROUND((E60-G60)*44/12,setup!$G$2)</f>
        <v>23.61</v>
      </c>
      <c r="J60" s="42">
        <f t="shared" si="0"/>
        <v>123.39708232306727</v>
      </c>
    </row>
    <row r="61" spans="1:10" x14ac:dyDescent="0.15">
      <c r="A61" s="31">
        <f>area!A61</f>
        <v>60</v>
      </c>
      <c r="B61" s="31" t="str">
        <f>area!B61</f>
        <v>T7</v>
      </c>
      <c r="C61" s="31" t="str">
        <f>area!C61</f>
        <v>WD</v>
      </c>
      <c r="D61" s="31" t="str">
        <f>area!D61</f>
        <v>GL</v>
      </c>
      <c r="E61" s="23">
        <f>VLOOKUP(C61, 'pivot-prepa EFRF'!$AE$7:$AG$26,2,FALSE)</f>
        <v>11.14</v>
      </c>
      <c r="F61" s="25">
        <f>VLOOKUP(C61, 'pivot-prepa EFRF'!$AE$7:$AG$26,3,FALSE)</f>
        <v>61.81</v>
      </c>
      <c r="G61" s="23">
        <f>VLOOKUP(D61, 'pivot-prepa EFRF'!$AE$7:$AG$26,2,FALSE)</f>
        <v>8.14</v>
      </c>
      <c r="H61" s="25">
        <f>VLOOKUP(D61, 'pivot-prepa EFRF'!$AE$7:$AG$26,3,FALSE)</f>
        <v>61.4</v>
      </c>
      <c r="I61" s="41">
        <f>ROUND((E61-G61)*44/12,setup!$G$2)</f>
        <v>11</v>
      </c>
      <c r="J61" s="42">
        <f t="shared" si="0"/>
        <v>283.61076563087113</v>
      </c>
    </row>
    <row r="62" spans="1:10" x14ac:dyDescent="0.15">
      <c r="A62" s="31">
        <f>area!A62</f>
        <v>61</v>
      </c>
      <c r="B62" s="31" t="str">
        <f>area!B62</f>
        <v>T7</v>
      </c>
      <c r="C62" s="31" t="str">
        <f>area!C62</f>
        <v>WD_fire</v>
      </c>
      <c r="D62" s="31" t="str">
        <f>area!D62</f>
        <v>WD_fire_deg</v>
      </c>
      <c r="E62" s="23">
        <f>VLOOKUP(C62, 'pivot-prepa EFRF'!$AE$7:$AG$26,2,FALSE)</f>
        <v>11.14</v>
      </c>
      <c r="F62" s="25">
        <f>VLOOKUP(C62, 'pivot-prepa EFRF'!$AE$7:$AG$26,3,FALSE)</f>
        <v>61.81</v>
      </c>
      <c r="G62" s="23">
        <f>VLOOKUP(D62, 'pivot-prepa EFRF'!$AE$7:$AG$26,2,FALSE)</f>
        <v>7.83</v>
      </c>
      <c r="H62" s="25">
        <f>VLOOKUP(D62, 'pivot-prepa EFRF'!$AE$7:$AG$26,3,FALSE)</f>
        <v>69.63</v>
      </c>
      <c r="I62" s="41">
        <f>ROUND((E62-G62)*44/12,setup!$G$2)</f>
        <v>12.14</v>
      </c>
      <c r="J62" s="42">
        <f t="shared" si="0"/>
        <v>265.33966972860395</v>
      </c>
    </row>
    <row r="63" spans="1:10" x14ac:dyDescent="0.15">
      <c r="A63" s="31">
        <f>area!A63</f>
        <v>62</v>
      </c>
      <c r="B63" s="31" t="str">
        <f>area!B63</f>
        <v>T7</v>
      </c>
      <c r="C63" s="31" t="str">
        <f>area!C63</f>
        <v>WD_other</v>
      </c>
      <c r="D63" s="31" t="str">
        <f>area!D63</f>
        <v>WD_other_deg</v>
      </c>
      <c r="E63" s="23">
        <f>VLOOKUP(C63, 'pivot-prepa EFRF'!$AE$7:$AG$26,2,FALSE)</f>
        <v>11.14</v>
      </c>
      <c r="F63" s="25">
        <f>VLOOKUP(C63, 'pivot-prepa EFRF'!$AE$7:$AG$26,3,FALSE)</f>
        <v>61.81</v>
      </c>
      <c r="G63" s="23">
        <f>VLOOKUP(D63, 'pivot-prepa EFRF'!$AE$7:$AG$26,2,FALSE)</f>
        <v>8.8699999999999992</v>
      </c>
      <c r="H63" s="25">
        <f>VLOOKUP(D63, 'pivot-prepa EFRF'!$AE$7:$AG$26,3,FALSE)</f>
        <v>67.23</v>
      </c>
      <c r="I63" s="41">
        <f>ROUND((E63-G63)*44/12,setup!$G$2)</f>
        <v>8.32</v>
      </c>
      <c r="J63" s="42">
        <f t="shared" si="0"/>
        <v>401.27519569826086</v>
      </c>
    </row>
    <row r="64" spans="1:10" x14ac:dyDescent="0.15">
      <c r="A64" s="31">
        <f>area!A64</f>
        <v>63</v>
      </c>
      <c r="B64" s="31" t="str">
        <f>area!B64</f>
        <v>T7</v>
      </c>
      <c r="C64" s="31" t="str">
        <f>area!C64</f>
        <v>FPc</v>
      </c>
      <c r="D64" s="31" t="str">
        <f>area!D64</f>
        <v>CP_a</v>
      </c>
      <c r="E64" s="23">
        <f>VLOOKUP(C64, 'pivot-prepa EFRF'!$AE$7:$AG$26,2,FALSE)</f>
        <v>56.92</v>
      </c>
      <c r="F64" s="25">
        <f>VLOOKUP(C64, 'pivot-prepa EFRF'!$AE$7:$AG$26,3,FALSE)</f>
        <v>35.479999999999997</v>
      </c>
      <c r="G64" s="23">
        <f>VLOOKUP(D64, 'pivot-prepa EFRF'!$AE$7:$AG$26,2,FALSE)</f>
        <v>4.7</v>
      </c>
      <c r="H64" s="25">
        <f>VLOOKUP(D64, 'pivot-prepa EFRF'!$AE$7:$AG$26,3,FALSE)</f>
        <v>84.41</v>
      </c>
      <c r="I64" s="41">
        <f>ROUND((E64-G64)*44/12,setup!$G$2)</f>
        <v>191.47</v>
      </c>
      <c r="J64" s="42">
        <f t="shared" si="0"/>
        <v>39.412494342012806</v>
      </c>
    </row>
    <row r="65" spans="1:10" x14ac:dyDescent="0.15">
      <c r="A65" s="31">
        <f>area!A65</f>
        <v>64</v>
      </c>
      <c r="B65" s="31" t="str">
        <f>area!B65</f>
        <v>T7</v>
      </c>
      <c r="C65" s="31" t="str">
        <f>area!C65</f>
        <v>FPc</v>
      </c>
      <c r="D65" s="31" t="str">
        <f>area!D65</f>
        <v>GL</v>
      </c>
      <c r="E65" s="23">
        <f>VLOOKUP(C65, 'pivot-prepa EFRF'!$AE$7:$AG$26,2,FALSE)</f>
        <v>56.92</v>
      </c>
      <c r="F65" s="25">
        <f>VLOOKUP(C65, 'pivot-prepa EFRF'!$AE$7:$AG$26,3,FALSE)</f>
        <v>35.479999999999997</v>
      </c>
      <c r="G65" s="23">
        <f>VLOOKUP(D65, 'pivot-prepa EFRF'!$AE$7:$AG$26,2,FALSE)</f>
        <v>8.14</v>
      </c>
      <c r="H65" s="25">
        <f>VLOOKUP(D65, 'pivot-prepa EFRF'!$AE$7:$AG$26,3,FALSE)</f>
        <v>61.4</v>
      </c>
      <c r="I65" s="41">
        <f>ROUND((E65-G65)*44/12,setup!$G$2)</f>
        <v>178.86</v>
      </c>
      <c r="J65" s="42">
        <f t="shared" si="0"/>
        <v>42.649608790315959</v>
      </c>
    </row>
    <row r="66" spans="1:10" x14ac:dyDescent="0.15">
      <c r="A66" s="31">
        <f>area!A66</f>
        <v>65</v>
      </c>
      <c r="B66" s="31" t="str">
        <f>area!B66</f>
        <v>T7</v>
      </c>
      <c r="C66" s="31" t="str">
        <f>area!C66</f>
        <v>FPnc</v>
      </c>
      <c r="D66" s="31" t="str">
        <f>area!D66</f>
        <v>CP_a</v>
      </c>
      <c r="E66" s="23">
        <f>VLOOKUP(C66, 'pivot-prepa EFRF'!$AE$7:$AG$26,2,FALSE)</f>
        <v>56.92</v>
      </c>
      <c r="F66" s="25">
        <f>VLOOKUP(C66, 'pivot-prepa EFRF'!$AE$7:$AG$26,3,FALSE)</f>
        <v>35.479999999999997</v>
      </c>
      <c r="G66" s="23">
        <f>VLOOKUP(D66, 'pivot-prepa EFRF'!$AE$7:$AG$26,2,FALSE)</f>
        <v>4.7</v>
      </c>
      <c r="H66" s="25">
        <f>VLOOKUP(D66, 'pivot-prepa EFRF'!$AE$7:$AG$26,3,FALSE)</f>
        <v>84.41</v>
      </c>
      <c r="I66" s="41">
        <f>ROUND((E66-G66)*44/12,setup!$G$2)</f>
        <v>191.47</v>
      </c>
      <c r="J66" s="42">
        <f t="shared" si="0"/>
        <v>39.412494342012806</v>
      </c>
    </row>
    <row r="67" spans="1:10" x14ac:dyDescent="0.15">
      <c r="A67" s="31">
        <f>area!A67</f>
        <v>66</v>
      </c>
      <c r="B67" s="31" t="str">
        <f>area!B67</f>
        <v>T8</v>
      </c>
      <c r="C67" s="31" t="str">
        <f>area!C67</f>
        <v>THF</v>
      </c>
      <c r="D67" s="31" t="str">
        <f>area!D67</f>
        <v>CP_p</v>
      </c>
      <c r="E67" s="23">
        <f>VLOOKUP(C67, 'pivot-prepa EFRF'!$AE$7:$AG$26,2,FALSE)</f>
        <v>134.16</v>
      </c>
      <c r="F67" s="25">
        <f>VLOOKUP(C67, 'pivot-prepa EFRF'!$AE$7:$AG$26,3,FALSE)</f>
        <v>32.979999999999997</v>
      </c>
      <c r="G67" s="23">
        <f>VLOOKUP(D67, 'pivot-prepa EFRF'!$AE$7:$AG$26,2,FALSE)</f>
        <v>3.42</v>
      </c>
      <c r="H67" s="25">
        <f>VLOOKUP(D67, 'pivot-prepa EFRF'!$AE$7:$AG$26,3,FALSE)</f>
        <v>45.84</v>
      </c>
      <c r="I67" s="41">
        <f>ROUND((E67-G67)*44/12,setup!$G$2)</f>
        <v>479.38</v>
      </c>
      <c r="J67" s="42">
        <f t="shared" ref="J67:J74" si="1">SQRT((E67*F67)^2+(G67*H67)^2)/(E67-G67)</f>
        <v>33.86395383490369</v>
      </c>
    </row>
    <row r="68" spans="1:10" x14ac:dyDescent="0.15">
      <c r="A68" s="31">
        <f>area!A68</f>
        <v>67</v>
      </c>
      <c r="B68" s="31" t="str">
        <f>area!B68</f>
        <v>T8</v>
      </c>
      <c r="C68" s="31" t="str">
        <f>area!C68</f>
        <v>THF_log</v>
      </c>
      <c r="D68" s="31" t="str">
        <f>area!D68</f>
        <v>THF_log_deg</v>
      </c>
      <c r="E68" s="23">
        <f>VLOOKUP(C68, 'pivot-prepa EFRF'!$AE$7:$AG$26,2,FALSE)</f>
        <v>134.16</v>
      </c>
      <c r="F68" s="25">
        <f>VLOOKUP(C68, 'pivot-prepa EFRF'!$AE$7:$AG$26,3,FALSE)</f>
        <v>32.979999999999997</v>
      </c>
      <c r="G68" s="23">
        <f>VLOOKUP(D68, 'pivot-prepa EFRF'!$AE$7:$AG$26,2,FALSE)</f>
        <v>119.67</v>
      </c>
      <c r="H68" s="25">
        <f>VLOOKUP(D68, 'pivot-prepa EFRF'!$AE$7:$AG$26,3,FALSE)</f>
        <v>36.68</v>
      </c>
      <c r="I68" s="41">
        <f>ROUND((E68-G68)*44/12,setup!$G$2)</f>
        <v>53.13</v>
      </c>
      <c r="J68" s="42">
        <f t="shared" si="1"/>
        <v>430.12794533918657</v>
      </c>
    </row>
    <row r="69" spans="1:10" x14ac:dyDescent="0.15">
      <c r="A69" s="31">
        <f>area!A69</f>
        <v>68</v>
      </c>
      <c r="B69" s="31" t="str">
        <f>area!B69</f>
        <v>T8</v>
      </c>
      <c r="C69" s="31" t="str">
        <f>area!C69</f>
        <v>WD</v>
      </c>
      <c r="D69" s="31" t="str">
        <f>area!D69</f>
        <v>CP_p</v>
      </c>
      <c r="E69" s="23">
        <f>VLOOKUP(C69, 'pivot-prepa EFRF'!$AE$7:$AG$26,2,FALSE)</f>
        <v>11.14</v>
      </c>
      <c r="F69" s="25">
        <f>VLOOKUP(C69, 'pivot-prepa EFRF'!$AE$7:$AG$26,3,FALSE)</f>
        <v>61.81</v>
      </c>
      <c r="G69" s="23">
        <f>VLOOKUP(D69, 'pivot-prepa EFRF'!$AE$7:$AG$26,2,FALSE)</f>
        <v>3.42</v>
      </c>
      <c r="H69" s="25">
        <f>VLOOKUP(D69, 'pivot-prepa EFRF'!$AE$7:$AG$26,3,FALSE)</f>
        <v>45.84</v>
      </c>
      <c r="I69" s="41">
        <f>ROUND((E69-G69)*44/12,setup!$G$2)</f>
        <v>28.31</v>
      </c>
      <c r="J69" s="42">
        <f t="shared" si="1"/>
        <v>91.474742071213043</v>
      </c>
    </row>
    <row r="70" spans="1:10" x14ac:dyDescent="0.15">
      <c r="A70" s="31">
        <f>area!A70</f>
        <v>69</v>
      </c>
      <c r="B70" s="31" t="str">
        <f>area!B70</f>
        <v>T8</v>
      </c>
      <c r="C70" s="31" t="str">
        <f>area!C70</f>
        <v>WD</v>
      </c>
      <c r="D70" s="31" t="str">
        <f>area!D70</f>
        <v>GL</v>
      </c>
      <c r="E70" s="23">
        <f>VLOOKUP(C70, 'pivot-prepa EFRF'!$AE$7:$AG$26,2,FALSE)</f>
        <v>11.14</v>
      </c>
      <c r="F70" s="25">
        <f>VLOOKUP(C70, 'pivot-prepa EFRF'!$AE$7:$AG$26,3,FALSE)</f>
        <v>61.81</v>
      </c>
      <c r="G70" s="23">
        <f>VLOOKUP(D70, 'pivot-prepa EFRF'!$AE$7:$AG$26,2,FALSE)</f>
        <v>8.14</v>
      </c>
      <c r="H70" s="25">
        <f>VLOOKUP(D70, 'pivot-prepa EFRF'!$AE$7:$AG$26,3,FALSE)</f>
        <v>61.4</v>
      </c>
      <c r="I70" s="41">
        <f>ROUND((E70-G70)*44/12,setup!$G$2)</f>
        <v>11</v>
      </c>
      <c r="J70" s="42">
        <f t="shared" si="1"/>
        <v>283.61076563087113</v>
      </c>
    </row>
    <row r="71" spans="1:10" x14ac:dyDescent="0.15">
      <c r="A71" s="31">
        <f>area!A71</f>
        <v>70</v>
      </c>
      <c r="B71" s="31" t="str">
        <f>area!B71</f>
        <v>T8</v>
      </c>
      <c r="C71" s="31" t="str">
        <f>area!C71</f>
        <v>WD</v>
      </c>
      <c r="D71" s="31" t="str">
        <f>area!D71</f>
        <v>Set</v>
      </c>
      <c r="E71" s="23">
        <f>VLOOKUP(C71, 'pivot-prepa EFRF'!$AE$7:$AG$26,2,FALSE)</f>
        <v>11.14</v>
      </c>
      <c r="F71" s="25">
        <f>VLOOKUP(C71, 'pivot-prepa EFRF'!$AE$7:$AG$26,3,FALSE)</f>
        <v>61.81</v>
      </c>
      <c r="G71" s="23">
        <f>VLOOKUP(D71, 'pivot-prepa EFRF'!$AE$7:$AG$26,2,FALSE)</f>
        <v>0</v>
      </c>
      <c r="H71" s="25">
        <f>VLOOKUP(D71, 'pivot-prepa EFRF'!$AE$7:$AG$26,3,FALSE)</f>
        <v>0</v>
      </c>
      <c r="I71" s="41">
        <f>ROUND((E71-G71)*44/12,setup!$G$2)</f>
        <v>40.85</v>
      </c>
      <c r="J71" s="42">
        <f t="shared" si="1"/>
        <v>61.810000000000009</v>
      </c>
    </row>
    <row r="72" spans="1:10" x14ac:dyDescent="0.15">
      <c r="A72" s="31">
        <f>area!A72</f>
        <v>71</v>
      </c>
      <c r="B72" s="31" t="str">
        <f>area!B72</f>
        <v>T8</v>
      </c>
      <c r="C72" s="31" t="str">
        <f>area!C72</f>
        <v>WD_log</v>
      </c>
      <c r="D72" s="31" t="str">
        <f>area!D72</f>
        <v>WD_log_deg</v>
      </c>
      <c r="E72" s="23">
        <f>VLOOKUP(C72, 'pivot-prepa EFRF'!$AE$7:$AG$26,2,FALSE)</f>
        <v>11.14</v>
      </c>
      <c r="F72" s="25">
        <f>VLOOKUP(C72, 'pivot-prepa EFRF'!$AE$7:$AG$26,3,FALSE)</f>
        <v>61.81</v>
      </c>
      <c r="G72" s="23">
        <f>VLOOKUP(D72, 'pivot-prepa EFRF'!$AE$7:$AG$26,2,FALSE)</f>
        <v>9.94</v>
      </c>
      <c r="H72" s="25">
        <f>VLOOKUP(D72, 'pivot-prepa EFRF'!$AE$7:$AG$26,3,FALSE)</f>
        <v>63.86</v>
      </c>
      <c r="I72" s="41">
        <f>ROUND((E72-G72)*44/12,setup!$G$2)</f>
        <v>4.4000000000000004</v>
      </c>
      <c r="J72" s="42">
        <f t="shared" si="1"/>
        <v>780.42477636742024</v>
      </c>
    </row>
    <row r="73" spans="1:10" x14ac:dyDescent="0.15">
      <c r="A73" s="31">
        <f>area!A73</f>
        <v>72</v>
      </c>
      <c r="B73" s="31" t="str">
        <f>area!B73</f>
        <v>T8</v>
      </c>
      <c r="C73" s="31" t="str">
        <f>area!C73</f>
        <v>WD_other</v>
      </c>
      <c r="D73" s="31" t="str">
        <f>area!D73</f>
        <v>WD_other_deg</v>
      </c>
      <c r="E73" s="23">
        <f>VLOOKUP(C73, 'pivot-prepa EFRF'!$AE$7:$AG$26,2,FALSE)</f>
        <v>11.14</v>
      </c>
      <c r="F73" s="25">
        <f>VLOOKUP(C73, 'pivot-prepa EFRF'!$AE$7:$AG$26,3,FALSE)</f>
        <v>61.81</v>
      </c>
      <c r="G73" s="23">
        <f>VLOOKUP(D73, 'pivot-prepa EFRF'!$AE$7:$AG$26,2,FALSE)</f>
        <v>8.8699999999999992</v>
      </c>
      <c r="H73" s="25">
        <f>VLOOKUP(D73, 'pivot-prepa EFRF'!$AE$7:$AG$26,3,FALSE)</f>
        <v>67.23</v>
      </c>
      <c r="I73" s="41">
        <f>ROUND((E73-G73)*44/12,setup!$G$2)</f>
        <v>8.32</v>
      </c>
      <c r="J73" s="42">
        <f t="shared" si="1"/>
        <v>401.27519569826086</v>
      </c>
    </row>
    <row r="74" spans="1:10" x14ac:dyDescent="0.15">
      <c r="A74" s="31">
        <f>area!A74</f>
        <v>73</v>
      </c>
      <c r="B74" s="31" t="str">
        <f>area!B74</f>
        <v>T8</v>
      </c>
      <c r="C74" s="31" t="str">
        <f>area!C74</f>
        <v>FPnc</v>
      </c>
      <c r="D74" s="31" t="str">
        <f>area!D74</f>
        <v>CP_p</v>
      </c>
      <c r="E74" s="23">
        <f>VLOOKUP(C74, 'pivot-prepa EFRF'!$AE$7:$AG$26,2,FALSE)</f>
        <v>56.92</v>
      </c>
      <c r="F74" s="25">
        <f>VLOOKUP(C74, 'pivot-prepa EFRF'!$AE$7:$AG$26,3,FALSE)</f>
        <v>35.479999999999997</v>
      </c>
      <c r="G74" s="23">
        <f>VLOOKUP(D74, 'pivot-prepa EFRF'!$AE$7:$AG$26,2,FALSE)</f>
        <v>3.42</v>
      </c>
      <c r="H74" s="25">
        <f>VLOOKUP(D74, 'pivot-prepa EFRF'!$AE$7:$AG$26,3,FALSE)</f>
        <v>45.84</v>
      </c>
      <c r="I74" s="41">
        <f>ROUND((E74-G74)*44/12,setup!$G$2)</f>
        <v>196.17</v>
      </c>
      <c r="J74" s="42">
        <f t="shared" si="1"/>
        <v>37.861635383355271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D548D-779B-E745-AC00-440185D2E582}">
  <dimension ref="A1:X74"/>
  <sheetViews>
    <sheetView topLeftCell="N1" workbookViewId="0">
      <selection activeCell="N37" sqref="N37"/>
    </sheetView>
  </sheetViews>
  <sheetFormatPr baseColWidth="10" defaultRowHeight="13" x14ac:dyDescent="0.15"/>
  <cols>
    <col min="1" max="1" width="8" bestFit="1" customWidth="1"/>
    <col min="3" max="3" width="9" bestFit="1" customWidth="1"/>
    <col min="4" max="4" width="13" bestFit="1" customWidth="1"/>
    <col min="5" max="6" width="12.1640625" bestFit="1" customWidth="1"/>
    <col min="7" max="7" width="8.5" bestFit="1" customWidth="1"/>
    <col min="8" max="9" width="10.5" bestFit="1" customWidth="1"/>
    <col min="10" max="10" width="10.33203125" bestFit="1" customWidth="1"/>
    <col min="12" max="12" width="25.1640625" bestFit="1" customWidth="1"/>
    <col min="13" max="13" width="36.33203125" bestFit="1" customWidth="1"/>
    <col min="14" max="17" width="36.33203125" customWidth="1"/>
    <col min="18" max="18" width="12.33203125" customWidth="1"/>
    <col min="21" max="21" width="12.6640625" bestFit="1" customWidth="1"/>
    <col min="22" max="22" width="12.6640625" customWidth="1"/>
    <col min="24" max="24" width="24.5" bestFit="1" customWidth="1"/>
  </cols>
  <sheetData>
    <row r="1" spans="1:24" ht="16" x14ac:dyDescent="0.2">
      <c r="A1" s="7" t="str">
        <f>area!A1</f>
        <v>trans_no</v>
      </c>
      <c r="B1" s="7" t="str">
        <f>area!B1</f>
        <v>trans_period</v>
      </c>
      <c r="C1" s="7" t="str">
        <f>area!C1</f>
        <v>lu_initial</v>
      </c>
      <c r="D1" s="7" t="str">
        <f>area!D1</f>
        <v>lu_final</v>
      </c>
      <c r="E1" s="7" t="str">
        <f>area!E1</f>
        <v>trans_area</v>
      </c>
      <c r="F1" s="7" t="str">
        <f>area!F1</f>
        <v>trans_se</v>
      </c>
      <c r="G1" s="7" t="str">
        <f>area!G1</f>
        <v>trans_pdf</v>
      </c>
      <c r="H1" s="7" t="str">
        <f>area!H1</f>
        <v>trans_pdf_a</v>
      </c>
      <c r="I1" s="7" t="str">
        <f>area!I1</f>
        <v>trans_pdf_b</v>
      </c>
      <c r="J1" s="7" t="str">
        <f>area!J1</f>
        <v>trans_pdf_c</v>
      </c>
      <c r="K1" s="7" t="str">
        <f>area!K1</f>
        <v>redd_activity</v>
      </c>
      <c r="L1" s="7" t="str">
        <f>area!L1</f>
        <v>lu_init_label</v>
      </c>
      <c r="M1" s="7" t="str">
        <f>area!M1</f>
        <v>lu_final_label</v>
      </c>
      <c r="N1" s="2" t="s">
        <v>37</v>
      </c>
      <c r="O1" s="2" t="s">
        <v>38</v>
      </c>
      <c r="P1" s="2" t="s">
        <v>39</v>
      </c>
      <c r="Q1" s="31" t="s">
        <v>155</v>
      </c>
      <c r="R1" s="40" t="s">
        <v>152</v>
      </c>
      <c r="S1" s="32" t="s">
        <v>150</v>
      </c>
      <c r="T1" s="32" t="s">
        <v>151</v>
      </c>
      <c r="U1" s="40" t="s">
        <v>153</v>
      </c>
      <c r="V1" s="40" t="s">
        <v>156</v>
      </c>
      <c r="W1" s="40" t="s">
        <v>154</v>
      </c>
      <c r="X1" s="5" t="s">
        <v>158</v>
      </c>
    </row>
    <row r="2" spans="1:24" x14ac:dyDescent="0.15">
      <c r="A2" s="7">
        <f>area!A2</f>
        <v>1</v>
      </c>
      <c r="B2" s="7" t="str">
        <f>area!B2</f>
        <v>T1</v>
      </c>
      <c r="C2" s="7" t="str">
        <f>area!C2</f>
        <v>THF</v>
      </c>
      <c r="D2" s="7" t="str">
        <f>area!D2</f>
        <v>FPc</v>
      </c>
      <c r="E2" s="7">
        <f>area!E2</f>
        <v>1109.0411150568182</v>
      </c>
      <c r="F2" s="7">
        <f>area!F2</f>
        <v>1109.0370699368061</v>
      </c>
      <c r="G2" s="7" t="str">
        <f>area!G2</f>
        <v>normal</v>
      </c>
      <c r="H2" s="7">
        <f>area!H2</f>
        <v>0</v>
      </c>
      <c r="I2" s="7">
        <f>area!I2</f>
        <v>0</v>
      </c>
      <c r="J2" s="7">
        <f>area!J2</f>
        <v>0</v>
      </c>
      <c r="K2" s="7" t="str">
        <f>area!K2</f>
        <v>DG</v>
      </c>
      <c r="L2" s="7" t="str">
        <f>area!L2</f>
        <v>10-Tropical High Forest</v>
      </c>
      <c r="M2" s="7" t="str">
        <f>area!M2</f>
        <v>51-Plantations commercial</v>
      </c>
      <c r="N2" s="7">
        <f>VLOOKUP('CALC E'!B2,time!$A$2:$D$9,2,FALSE)</f>
        <v>2017</v>
      </c>
      <c r="O2" s="7">
        <f>VLOOKUP('CALC E'!B2,time!$A$2:$D$9,3,FALSE)</f>
        <v>2017</v>
      </c>
      <c r="P2" s="7" t="str">
        <f>VLOOKUP('CALC E'!B2,time!$A$2:$D$9,4,FALSE)</f>
        <v>REF</v>
      </c>
      <c r="Q2" s="7">
        <f>O2-N2+1</f>
        <v>1</v>
      </c>
      <c r="R2" s="41">
        <f>ROUND(_xlfn.T.INV.2T(1 - setup!$F$2, 10000)*F2/E2*100,setup!$G$2)</f>
        <v>164.5</v>
      </c>
      <c r="S2" s="23" cm="1">
        <f t="array" ref="S2">_xlfn.XLOOKUP(1, ('CALC EFRF'!$C$2:$C$74='CALC E'!C2)*('CALC EFRF'!$D$2:$D$74='CALC E'!D2),'CALC EFRF'!$I$2:$I$74)</f>
        <v>283.20999999999998</v>
      </c>
      <c r="T2" s="25" cm="1">
        <f t="array" ref="T2">_xlfn.XLOOKUP(1, ('CALC EFRF'!$C$2:$C$74='CALC E'!C2)*('CALC EFRF'!$D$2:$D$74='CALC E'!D2),'CALC EFRF'!$J$2:$J$74)</f>
        <v>62.968598071208177</v>
      </c>
      <c r="U2" s="43">
        <f>ROUND(E2*S2,setup!$G$2)</f>
        <v>314091.53000000003</v>
      </c>
      <c r="V2" s="43">
        <f>IF(setup!$E$2,'CALC E'!U2,'CALC E'!U2/'CALC E'!Q2)</f>
        <v>314091.53000000003</v>
      </c>
      <c r="W2" s="42">
        <f>ROUND(SQRT(R2^2+T2^2),setup!$G$2)</f>
        <v>176.14</v>
      </c>
      <c r="X2" s="50">
        <f>(W2*V2)^2</f>
        <v>3060754059565781</v>
      </c>
    </row>
    <row r="3" spans="1:24" x14ac:dyDescent="0.15">
      <c r="A3" s="7">
        <f>area!A3</f>
        <v>2</v>
      </c>
      <c r="B3" s="7" t="str">
        <f>area!B3</f>
        <v>T1</v>
      </c>
      <c r="C3" s="7" t="str">
        <f>area!C3</f>
        <v>THF</v>
      </c>
      <c r="D3" s="7" t="str">
        <f>area!D3</f>
        <v>CP_a</v>
      </c>
      <c r="E3" s="7">
        <f>area!E3</f>
        <v>3327.1233451704543</v>
      </c>
      <c r="F3" s="7">
        <f>area!F3</f>
        <v>1919.6117016602238</v>
      </c>
      <c r="G3" s="7" t="str">
        <f>area!G3</f>
        <v>normal</v>
      </c>
      <c r="H3" s="7">
        <f>area!H3</f>
        <v>0</v>
      </c>
      <c r="I3" s="7">
        <f>area!I3</f>
        <v>0</v>
      </c>
      <c r="J3" s="7">
        <f>area!J3</f>
        <v>0</v>
      </c>
      <c r="K3" s="7" t="str">
        <f>area!K3</f>
        <v>DF</v>
      </c>
      <c r="L3" s="7" t="str">
        <f>area!L3</f>
        <v>10-Tropical High Forest</v>
      </c>
      <c r="M3" s="7" t="str">
        <f>area!M3</f>
        <v>72-Cropland_annual</v>
      </c>
      <c r="N3" s="7">
        <f>VLOOKUP('CALC E'!B3,time!$A$2:$D$9,2,FALSE)</f>
        <v>2017</v>
      </c>
      <c r="O3" s="7">
        <f>VLOOKUP('CALC E'!B3,time!$A$2:$D$9,3,FALSE)</f>
        <v>2017</v>
      </c>
      <c r="P3" s="7" t="str">
        <f>VLOOKUP('CALC E'!B3,time!$A$2:$D$9,4,FALSE)</f>
        <v>REF</v>
      </c>
      <c r="Q3" s="7">
        <f t="shared" ref="Q3:Q66" si="0">O3-N3+1</f>
        <v>1</v>
      </c>
      <c r="R3" s="41">
        <f>ROUND(_xlfn.T.INV.2T(1 - setup!$F$2, 10000)*F3/E3*100,setup!$G$2)</f>
        <v>94.91</v>
      </c>
      <c r="S3" s="23" cm="1">
        <f t="array" ref="S3">_xlfn.XLOOKUP(1, ('CALC EFRF'!$C$2:$C$74='CALC E'!C3)*('CALC EFRF'!$D$2:$D$74='CALC E'!D3),'CALC EFRF'!$I$2:$I$74)</f>
        <v>474.69</v>
      </c>
      <c r="T3" s="25" cm="1">
        <f t="array" ref="T3">_xlfn.XLOOKUP(1, ('CALC EFRF'!$C$2:$C$74='CALC E'!C3)*('CALC EFRF'!$D$2:$D$74='CALC E'!D3),'CALC EFRF'!$J$2:$J$74)</f>
        <v>34.314438879762903</v>
      </c>
      <c r="U3" s="43">
        <f>ROUND(E3*S3,setup!$G$2)</f>
        <v>1579352.18</v>
      </c>
      <c r="V3" s="43">
        <f>IF(setup!$E$2,'CALC E'!U3,'CALC E'!U3/'CALC E'!Q3)</f>
        <v>1579352.18</v>
      </c>
      <c r="W3" s="42">
        <f>ROUND(SQRT(R3^2+T3^2),setup!$G$2)</f>
        <v>100.92</v>
      </c>
      <c r="X3" s="50">
        <f t="shared" ref="X3:X66" si="1">(W3*V3)^2</f>
        <v>2.5404605314106432E+16</v>
      </c>
    </row>
    <row r="4" spans="1:24" x14ac:dyDescent="0.15">
      <c r="A4" s="7">
        <f>area!A4</f>
        <v>3</v>
      </c>
      <c r="B4" s="7" t="str">
        <f>area!B4</f>
        <v>T1</v>
      </c>
      <c r="C4" s="7" t="str">
        <f>area!C4</f>
        <v>THF</v>
      </c>
      <c r="D4" s="7" t="str">
        <f>area!D4</f>
        <v>GL</v>
      </c>
      <c r="E4" s="7">
        <f>area!E4</f>
        <v>2218.0822301136363</v>
      </c>
      <c r="F4" s="7">
        <f>area!F4</f>
        <v>1567.8885166231225</v>
      </c>
      <c r="G4" s="7" t="str">
        <f>area!G4</f>
        <v>normal</v>
      </c>
      <c r="H4" s="7">
        <f>area!H4</f>
        <v>0</v>
      </c>
      <c r="I4" s="7">
        <f>area!I4</f>
        <v>0</v>
      </c>
      <c r="J4" s="7">
        <f>area!J4</f>
        <v>0</v>
      </c>
      <c r="K4" s="7" t="str">
        <f>area!K4</f>
        <v>DF</v>
      </c>
      <c r="L4" s="7" t="str">
        <f>area!L4</f>
        <v>10-Tropical High Forest</v>
      </c>
      <c r="M4" s="7" t="str">
        <f>area!M4</f>
        <v>80-Grassland</v>
      </c>
      <c r="N4" s="7">
        <f>VLOOKUP('CALC E'!B4,time!$A$2:$D$9,2,FALSE)</f>
        <v>2017</v>
      </c>
      <c r="O4" s="7">
        <f>VLOOKUP('CALC E'!B4,time!$A$2:$D$9,3,FALSE)</f>
        <v>2017</v>
      </c>
      <c r="P4" s="7" t="str">
        <f>VLOOKUP('CALC E'!B4,time!$A$2:$D$9,4,FALSE)</f>
        <v>REF</v>
      </c>
      <c r="Q4" s="7">
        <f t="shared" si="0"/>
        <v>1</v>
      </c>
      <c r="R4" s="41">
        <f>ROUND(_xlfn.T.INV.2T(1 - setup!$F$2, 10000)*F4/E4*100,setup!$G$2)</f>
        <v>116.28</v>
      </c>
      <c r="S4" s="23" cm="1">
        <f t="array" ref="S4">_xlfn.XLOOKUP(1, ('CALC EFRF'!$C$2:$C$74='CALC E'!C4)*('CALC EFRF'!$D$2:$D$74='CALC E'!D4),'CALC EFRF'!$I$2:$I$74)</f>
        <v>462.07</v>
      </c>
      <c r="T4" s="25" cm="1">
        <f t="array" ref="T4">_xlfn.XLOOKUP(1, ('CALC EFRF'!$C$2:$C$74='CALC E'!C4)*('CALC EFRF'!$D$2:$D$74='CALC E'!D4),'CALC EFRF'!$J$2:$J$74)</f>
        <v>35.333561644007922</v>
      </c>
      <c r="U4" s="43">
        <f>ROUND(E4*S4,setup!$G$2)</f>
        <v>1024909.26</v>
      </c>
      <c r="V4" s="43">
        <f>IF(setup!$E$2,'CALC E'!U4,'CALC E'!U4/'CALC E'!Q4)</f>
        <v>1024909.26</v>
      </c>
      <c r="W4" s="42">
        <f>ROUND(SQRT(R4^2+T4^2),setup!$G$2)</f>
        <v>121.53</v>
      </c>
      <c r="X4" s="50">
        <f t="shared" si="1"/>
        <v>1.5514501643981576E+16</v>
      </c>
    </row>
    <row r="5" spans="1:24" x14ac:dyDescent="0.15">
      <c r="A5" s="7">
        <f>area!A5</f>
        <v>4</v>
      </c>
      <c r="B5" s="7" t="str">
        <f>area!B5</f>
        <v>T1</v>
      </c>
      <c r="C5" s="7" t="str">
        <f>area!C5</f>
        <v>WD</v>
      </c>
      <c r="D5" s="7" t="str">
        <f>area!D5</f>
        <v>CP_a</v>
      </c>
      <c r="E5" s="7">
        <f>area!E5</f>
        <v>13699.848917843166</v>
      </c>
      <c r="F5" s="7">
        <f>area!F5</f>
        <v>4809.503886341101</v>
      </c>
      <c r="G5" s="7" t="str">
        <f>area!G5</f>
        <v>normal</v>
      </c>
      <c r="H5" s="7">
        <f>area!H5</f>
        <v>0</v>
      </c>
      <c r="I5" s="7">
        <f>area!I5</f>
        <v>0</v>
      </c>
      <c r="J5" s="7">
        <f>area!J5</f>
        <v>0</v>
      </c>
      <c r="K5" s="7" t="str">
        <f>area!K5</f>
        <v>DF</v>
      </c>
      <c r="L5" s="7" t="str">
        <f>area!L5</f>
        <v>30-Woodlands</v>
      </c>
      <c r="M5" s="7" t="str">
        <f>area!M5</f>
        <v>72-Cropland_annual</v>
      </c>
      <c r="N5" s="7">
        <f>VLOOKUP('CALC E'!B5,time!$A$2:$D$9,2,FALSE)</f>
        <v>2017</v>
      </c>
      <c r="O5" s="7">
        <f>VLOOKUP('CALC E'!B5,time!$A$2:$D$9,3,FALSE)</f>
        <v>2017</v>
      </c>
      <c r="P5" s="7" t="str">
        <f>VLOOKUP('CALC E'!B5,time!$A$2:$D$9,4,FALSE)</f>
        <v>REF</v>
      </c>
      <c r="Q5" s="7">
        <f t="shared" si="0"/>
        <v>1</v>
      </c>
      <c r="R5" s="41">
        <f>ROUND(_xlfn.T.INV.2T(1 - setup!$F$2, 10000)*F5/E5*100,setup!$G$2)</f>
        <v>57.75</v>
      </c>
      <c r="S5" s="23" cm="1">
        <f t="array" ref="S5">_xlfn.XLOOKUP(1, ('CALC EFRF'!$C$2:$C$74='CALC E'!C5)*('CALC EFRF'!$D$2:$D$74='CALC E'!D5),'CALC EFRF'!$I$2:$I$74)</f>
        <v>23.61</v>
      </c>
      <c r="T5" s="25" cm="1">
        <f t="array" ref="T5">_xlfn.XLOOKUP(1, ('CALC EFRF'!$C$2:$C$74='CALC E'!C5)*('CALC EFRF'!$D$2:$D$74='CALC E'!D5),'CALC EFRF'!$J$2:$J$74)</f>
        <v>123.39708232306727</v>
      </c>
      <c r="U5" s="43">
        <f>ROUND(E5*S5,setup!$G$2)</f>
        <v>323453.43</v>
      </c>
      <c r="V5" s="43">
        <f>IF(setup!$E$2,'CALC E'!U5,'CALC E'!U5/'CALC E'!Q5)</f>
        <v>323453.43</v>
      </c>
      <c r="W5" s="42">
        <f>ROUND(SQRT(R5^2+T5^2),setup!$G$2)</f>
        <v>136.24</v>
      </c>
      <c r="X5" s="50">
        <f t="shared" si="1"/>
        <v>1941926515339432.8</v>
      </c>
    </row>
    <row r="6" spans="1:24" x14ac:dyDescent="0.15">
      <c r="A6" s="7">
        <f>area!A6</f>
        <v>5</v>
      </c>
      <c r="B6" s="7" t="str">
        <f>area!B6</f>
        <v>T1</v>
      </c>
      <c r="C6" s="7" t="str">
        <f>area!C6</f>
        <v>WD</v>
      </c>
      <c r="D6" s="7" t="str">
        <f>area!D6</f>
        <v>GL</v>
      </c>
      <c r="E6" s="7">
        <f>area!E6</f>
        <v>17528.694652696522</v>
      </c>
      <c r="F6" s="7">
        <f>area!F6</f>
        <v>6274.0776699341604</v>
      </c>
      <c r="G6" s="7" t="str">
        <f>area!G6</f>
        <v>normal</v>
      </c>
      <c r="H6" s="7">
        <f>area!H6</f>
        <v>0</v>
      </c>
      <c r="I6" s="7">
        <f>area!I6</f>
        <v>0</v>
      </c>
      <c r="J6" s="7">
        <f>area!J6</f>
        <v>0</v>
      </c>
      <c r="K6" s="7" t="str">
        <f>area!K6</f>
        <v>DF</v>
      </c>
      <c r="L6" s="7" t="str">
        <f>area!L6</f>
        <v>30-Woodlands</v>
      </c>
      <c r="M6" s="7" t="str">
        <f>area!M6</f>
        <v>80-Grassland</v>
      </c>
      <c r="N6" s="7">
        <f>VLOOKUP('CALC E'!B6,time!$A$2:$D$9,2,FALSE)</f>
        <v>2017</v>
      </c>
      <c r="O6" s="7">
        <f>VLOOKUP('CALC E'!B6,time!$A$2:$D$9,3,FALSE)</f>
        <v>2017</v>
      </c>
      <c r="P6" s="7" t="str">
        <f>VLOOKUP('CALC E'!B6,time!$A$2:$D$9,4,FALSE)</f>
        <v>REF</v>
      </c>
      <c r="Q6" s="7">
        <f t="shared" si="0"/>
        <v>1</v>
      </c>
      <c r="R6" s="41">
        <f>ROUND(_xlfn.T.INV.2T(1 - setup!$F$2, 10000)*F6/E6*100,setup!$G$2)</f>
        <v>58.88</v>
      </c>
      <c r="S6" s="23" cm="1">
        <f t="array" ref="S6">_xlfn.XLOOKUP(1, ('CALC EFRF'!$C$2:$C$74='CALC E'!C6)*('CALC EFRF'!$D$2:$D$74='CALC E'!D6),'CALC EFRF'!$I$2:$I$74)</f>
        <v>11</v>
      </c>
      <c r="T6" s="25" cm="1">
        <f t="array" ref="T6">_xlfn.XLOOKUP(1, ('CALC EFRF'!$C$2:$C$74='CALC E'!C6)*('CALC EFRF'!$D$2:$D$74='CALC E'!D6),'CALC EFRF'!$J$2:$J$74)</f>
        <v>283.61076563087113</v>
      </c>
      <c r="U6" s="43">
        <f>ROUND(E6*S6,setup!$G$2)</f>
        <v>192815.64</v>
      </c>
      <c r="V6" s="43">
        <f>IF(setup!$E$2,'CALC E'!U6,'CALC E'!U6/'CALC E'!Q6)</f>
        <v>192815.64</v>
      </c>
      <c r="W6" s="42">
        <f>ROUND(SQRT(R6^2+T6^2),setup!$G$2)</f>
        <v>289.66000000000003</v>
      </c>
      <c r="X6" s="50">
        <f t="shared" si="1"/>
        <v>3119331775101118</v>
      </c>
    </row>
    <row r="7" spans="1:24" x14ac:dyDescent="0.15">
      <c r="A7" s="7">
        <f>area!A7</f>
        <v>6</v>
      </c>
      <c r="B7" s="7" t="str">
        <f>area!B7</f>
        <v>T1</v>
      </c>
      <c r="C7" s="7" t="str">
        <f>area!C7</f>
        <v>WD_fire</v>
      </c>
      <c r="D7" s="7" t="str">
        <f>area!D7</f>
        <v>WD_fire_deg</v>
      </c>
      <c r="E7" s="7">
        <f>area!E7</f>
        <v>2572.3857580398162</v>
      </c>
      <c r="F7" s="7">
        <f>area!F7</f>
        <v>2572.3763755120031</v>
      </c>
      <c r="G7" s="7" t="str">
        <f>area!G7</f>
        <v>normal</v>
      </c>
      <c r="H7" s="7">
        <f>area!H7</f>
        <v>0</v>
      </c>
      <c r="I7" s="7">
        <f>area!I7</f>
        <v>0</v>
      </c>
      <c r="J7" s="7">
        <f>area!J7</f>
        <v>0</v>
      </c>
      <c r="K7" s="7" t="str">
        <f>area!K7</f>
        <v>DG</v>
      </c>
      <c r="L7" s="7" t="str">
        <f>area!L7</f>
        <v>31-Woodlands</v>
      </c>
      <c r="M7" s="7" t="str">
        <f>area!M7</f>
        <v>41-Woodlands_Degraded_by_fire</v>
      </c>
      <c r="N7" s="7">
        <f>VLOOKUP('CALC E'!B7,time!$A$2:$D$9,2,FALSE)</f>
        <v>2017</v>
      </c>
      <c r="O7" s="7">
        <f>VLOOKUP('CALC E'!B7,time!$A$2:$D$9,3,FALSE)</f>
        <v>2017</v>
      </c>
      <c r="P7" s="7" t="str">
        <f>VLOOKUP('CALC E'!B7,time!$A$2:$D$9,4,FALSE)</f>
        <v>REF</v>
      </c>
      <c r="Q7" s="7">
        <f t="shared" si="0"/>
        <v>1</v>
      </c>
      <c r="R7" s="41">
        <f>ROUND(_xlfn.T.INV.2T(1 - setup!$F$2, 10000)*F7/E7*100,setup!$G$2)</f>
        <v>164.5</v>
      </c>
      <c r="S7" s="23" cm="1">
        <f t="array" ref="S7">_xlfn.XLOOKUP(1, ('CALC EFRF'!$C$2:$C$74='CALC E'!C7)*('CALC EFRF'!$D$2:$D$74='CALC E'!D7),'CALC EFRF'!$I$2:$I$74)</f>
        <v>12.14</v>
      </c>
      <c r="T7" s="25" cm="1">
        <f t="array" ref="T7">_xlfn.XLOOKUP(1, ('CALC EFRF'!$C$2:$C$74='CALC E'!C7)*('CALC EFRF'!$D$2:$D$74='CALC E'!D7),'CALC EFRF'!$J$2:$J$74)</f>
        <v>265.33966972860395</v>
      </c>
      <c r="U7" s="43">
        <f>ROUND(E7*S7,setup!$G$2)</f>
        <v>31228.76</v>
      </c>
      <c r="V7" s="43">
        <f>IF(setup!$E$2,'CALC E'!U7,'CALC E'!U7/'CALC E'!Q7)</f>
        <v>31228.76</v>
      </c>
      <c r="W7" s="42">
        <f>ROUND(SQRT(R7^2+T7^2),setup!$G$2)</f>
        <v>312.19</v>
      </c>
      <c r="X7" s="50">
        <f t="shared" si="1"/>
        <v>95048978876625.188</v>
      </c>
    </row>
    <row r="8" spans="1:24" x14ac:dyDescent="0.15">
      <c r="A8" s="7">
        <f>area!A8</f>
        <v>7</v>
      </c>
      <c r="B8" s="7" t="str">
        <f>area!B8</f>
        <v>T1</v>
      </c>
      <c r="C8" s="7" t="str">
        <f>area!C8</f>
        <v>WD_other</v>
      </c>
      <c r="D8" s="7" t="str">
        <f>area!D8</f>
        <v>WD_other_deg</v>
      </c>
      <c r="E8" s="7">
        <f>area!E8</f>
        <v>2572.3857580398162</v>
      </c>
      <c r="F8" s="7">
        <f>area!F8</f>
        <v>2572.3763755120031</v>
      </c>
      <c r="G8" s="7" t="str">
        <f>area!G8</f>
        <v>normal</v>
      </c>
      <c r="H8" s="7">
        <f>area!H8</f>
        <v>0</v>
      </c>
      <c r="I8" s="7">
        <f>area!I8</f>
        <v>0</v>
      </c>
      <c r="J8" s="7">
        <f>area!J8</f>
        <v>0</v>
      </c>
      <c r="K8" s="7" t="str">
        <f>area!K8</f>
        <v>DG</v>
      </c>
      <c r="L8" s="7" t="str">
        <f>area!L8</f>
        <v>34-Woodlands</v>
      </c>
      <c r="M8" s="7" t="str">
        <f>area!M8</f>
        <v>44-Woodlands_Degraded_by_other</v>
      </c>
      <c r="N8" s="7">
        <f>VLOOKUP('CALC E'!B8,time!$A$2:$D$9,2,FALSE)</f>
        <v>2017</v>
      </c>
      <c r="O8" s="7">
        <f>VLOOKUP('CALC E'!B8,time!$A$2:$D$9,3,FALSE)</f>
        <v>2017</v>
      </c>
      <c r="P8" s="7" t="str">
        <f>VLOOKUP('CALC E'!B8,time!$A$2:$D$9,4,FALSE)</f>
        <v>REF</v>
      </c>
      <c r="Q8" s="7">
        <f t="shared" si="0"/>
        <v>1</v>
      </c>
      <c r="R8" s="41">
        <f>ROUND(_xlfn.T.INV.2T(1 - setup!$F$2, 10000)*F8/E8*100,setup!$G$2)</f>
        <v>164.5</v>
      </c>
      <c r="S8" s="23" cm="1">
        <f t="array" ref="S8">_xlfn.XLOOKUP(1, ('CALC EFRF'!$C$2:$C$74='CALC E'!C8)*('CALC EFRF'!$D$2:$D$74='CALC E'!D8),'CALC EFRF'!$I$2:$I$74)</f>
        <v>8.32</v>
      </c>
      <c r="T8" s="25" cm="1">
        <f t="array" ref="T8">_xlfn.XLOOKUP(1, ('CALC EFRF'!$C$2:$C$74='CALC E'!C8)*('CALC EFRF'!$D$2:$D$74='CALC E'!D8),'CALC EFRF'!$J$2:$J$74)</f>
        <v>401.27519569826086</v>
      </c>
      <c r="U8" s="43">
        <f>ROUND(E8*S8,setup!$G$2)</f>
        <v>21402.25</v>
      </c>
      <c r="V8" s="43">
        <f>IF(setup!$E$2,'CALC E'!U8,'CALC E'!U8/'CALC E'!Q8)</f>
        <v>21402.25</v>
      </c>
      <c r="W8" s="42">
        <f>ROUND(SQRT(R8^2+T8^2),setup!$G$2)</f>
        <v>433.68</v>
      </c>
      <c r="X8" s="50">
        <f t="shared" si="1"/>
        <v>86150470582023.719</v>
      </c>
    </row>
    <row r="9" spans="1:24" x14ac:dyDescent="0.15">
      <c r="A9" s="7">
        <f>area!A9</f>
        <v>8</v>
      </c>
      <c r="B9" s="7" t="str">
        <f>area!B9</f>
        <v>T2</v>
      </c>
      <c r="C9" s="7" t="str">
        <f>area!C9</f>
        <v>THF</v>
      </c>
      <c r="D9" s="7" t="str">
        <f>area!D9</f>
        <v>CP_p</v>
      </c>
      <c r="E9" s="7">
        <f>area!E9</f>
        <v>1847.9485302390999</v>
      </c>
      <c r="F9" s="7">
        <f>area!F9</f>
        <v>1847.9417900258838</v>
      </c>
      <c r="G9" s="7" t="str">
        <f>area!G9</f>
        <v>normal</v>
      </c>
      <c r="H9" s="7">
        <f>area!H9</f>
        <v>0</v>
      </c>
      <c r="I9" s="7">
        <f>area!I9</f>
        <v>0</v>
      </c>
      <c r="J9" s="7">
        <f>area!J9</f>
        <v>0</v>
      </c>
      <c r="K9" s="7" t="str">
        <f>area!K9</f>
        <v>DF</v>
      </c>
      <c r="L9" s="7" t="str">
        <f>area!L9</f>
        <v>10-Tropical High Forest</v>
      </c>
      <c r="M9" s="7" t="str">
        <f>area!M9</f>
        <v>71-Cropland_perennial</v>
      </c>
      <c r="N9" s="7">
        <f>VLOOKUP('CALC E'!B9,time!$A$2:$D$9,2,FALSE)</f>
        <v>2018</v>
      </c>
      <c r="O9" s="7">
        <f>VLOOKUP('CALC E'!B9,time!$A$2:$D$9,3,FALSE)</f>
        <v>2018</v>
      </c>
      <c r="P9" s="7" t="str">
        <f>VLOOKUP('CALC E'!B9,time!$A$2:$D$9,4,FALSE)</f>
        <v>REF</v>
      </c>
      <c r="Q9" s="7">
        <f t="shared" si="0"/>
        <v>1</v>
      </c>
      <c r="R9" s="41">
        <f>ROUND(_xlfn.T.INV.2T(1 - setup!$F$2, 10000)*F9/E9*100,setup!$G$2)</f>
        <v>164.5</v>
      </c>
      <c r="S9" s="23" cm="1">
        <f t="array" ref="S9">_xlfn.XLOOKUP(1, ('CALC EFRF'!$C$2:$C$74='CALC E'!C9)*('CALC EFRF'!$D$2:$D$74='CALC E'!D9),'CALC EFRF'!$I$2:$I$74)</f>
        <v>479.38</v>
      </c>
      <c r="T9" s="25" cm="1">
        <f t="array" ref="T9">_xlfn.XLOOKUP(1, ('CALC EFRF'!$C$2:$C$74='CALC E'!C9)*('CALC EFRF'!$D$2:$D$74='CALC E'!D9),'CALC EFRF'!$J$2:$J$74)</f>
        <v>33.86395383490369</v>
      </c>
      <c r="U9" s="43">
        <f>ROUND(E9*S9,setup!$G$2)</f>
        <v>885869.57</v>
      </c>
      <c r="V9" s="43">
        <f>IF(setup!$E$2,'CALC E'!U9,'CALC E'!U9/'CALC E'!Q9)</f>
        <v>885869.57</v>
      </c>
      <c r="W9" s="42">
        <f>ROUND(SQRT(R9^2+T9^2),setup!$G$2)</f>
        <v>167.95</v>
      </c>
      <c r="X9" s="50">
        <f t="shared" si="1"/>
        <v>2.213602230962258E+16</v>
      </c>
    </row>
    <row r="10" spans="1:24" x14ac:dyDescent="0.15">
      <c r="A10" s="7">
        <f>area!A10</f>
        <v>9</v>
      </c>
      <c r="B10" s="7" t="str">
        <f>area!B10</f>
        <v>T2</v>
      </c>
      <c r="C10" s="7" t="str">
        <f>area!C10</f>
        <v>THF</v>
      </c>
      <c r="D10" s="7" t="str">
        <f>area!D10</f>
        <v>CP_a</v>
      </c>
      <c r="E10" s="7">
        <f>area!E10</f>
        <v>2218.0822301136363</v>
      </c>
      <c r="F10" s="7">
        <f>area!F10</f>
        <v>1567.8885166231225</v>
      </c>
      <c r="G10" s="7" t="str">
        <f>area!G10</f>
        <v>normal</v>
      </c>
      <c r="H10" s="7">
        <f>area!H10</f>
        <v>0</v>
      </c>
      <c r="I10" s="7">
        <f>area!I10</f>
        <v>0</v>
      </c>
      <c r="J10" s="7">
        <f>area!J10</f>
        <v>0</v>
      </c>
      <c r="K10" s="7" t="str">
        <f>area!K10</f>
        <v>DF</v>
      </c>
      <c r="L10" s="7" t="str">
        <f>area!L10</f>
        <v>10-Tropical High Forest</v>
      </c>
      <c r="M10" s="7" t="str">
        <f>area!M10</f>
        <v>72-Cropland_annual</v>
      </c>
      <c r="N10" s="7">
        <f>VLOOKUP('CALC E'!B10,time!$A$2:$D$9,2,FALSE)</f>
        <v>2018</v>
      </c>
      <c r="O10" s="7">
        <f>VLOOKUP('CALC E'!B10,time!$A$2:$D$9,3,FALSE)</f>
        <v>2018</v>
      </c>
      <c r="P10" s="7" t="str">
        <f>VLOOKUP('CALC E'!B10,time!$A$2:$D$9,4,FALSE)</f>
        <v>REF</v>
      </c>
      <c r="Q10" s="7">
        <f t="shared" si="0"/>
        <v>1</v>
      </c>
      <c r="R10" s="41">
        <f>ROUND(_xlfn.T.INV.2T(1 - setup!$F$2, 10000)*F10/E10*100,setup!$G$2)</f>
        <v>116.28</v>
      </c>
      <c r="S10" s="23" cm="1">
        <f t="array" ref="S10">_xlfn.XLOOKUP(1, ('CALC EFRF'!$C$2:$C$74='CALC E'!C10)*('CALC EFRF'!$D$2:$D$74='CALC E'!D10),'CALC EFRF'!$I$2:$I$74)</f>
        <v>474.69</v>
      </c>
      <c r="T10" s="25" cm="1">
        <f t="array" ref="T10">_xlfn.XLOOKUP(1, ('CALC EFRF'!$C$2:$C$74='CALC E'!C10)*('CALC EFRF'!$D$2:$D$74='CALC E'!D10),'CALC EFRF'!$J$2:$J$74)</f>
        <v>34.314438879762903</v>
      </c>
      <c r="U10" s="43">
        <f>ROUND(E10*S10,setup!$G$2)</f>
        <v>1052901.45</v>
      </c>
      <c r="V10" s="43">
        <f>IF(setup!$E$2,'CALC E'!U10,'CALC E'!U10/'CALC E'!Q10)</f>
        <v>1052901.45</v>
      </c>
      <c r="W10" s="42">
        <f>ROUND(SQRT(R10^2+T10^2),setup!$G$2)</f>
        <v>121.24</v>
      </c>
      <c r="X10" s="50">
        <f t="shared" si="1"/>
        <v>1.6295485454255858E+16</v>
      </c>
    </row>
    <row r="11" spans="1:24" x14ac:dyDescent="0.15">
      <c r="A11" s="7">
        <f>area!A11</f>
        <v>10</v>
      </c>
      <c r="B11" s="7" t="str">
        <f>area!B11</f>
        <v>T2</v>
      </c>
      <c r="C11" s="7" t="str">
        <f>area!C11</f>
        <v>THF</v>
      </c>
      <c r="D11" s="7" t="str">
        <f>area!D11</f>
        <v>GL</v>
      </c>
      <c r="E11" s="7">
        <f>area!E11</f>
        <v>2218.0822301136363</v>
      </c>
      <c r="F11" s="7">
        <f>area!F11</f>
        <v>1567.8885166231225</v>
      </c>
      <c r="G11" s="7" t="str">
        <f>area!G11</f>
        <v>normal</v>
      </c>
      <c r="H11" s="7">
        <f>area!H11</f>
        <v>0</v>
      </c>
      <c r="I11" s="7">
        <f>area!I11</f>
        <v>0</v>
      </c>
      <c r="J11" s="7">
        <f>area!J11</f>
        <v>0</v>
      </c>
      <c r="K11" s="7" t="str">
        <f>area!K11</f>
        <v>DF</v>
      </c>
      <c r="L11" s="7" t="str">
        <f>area!L11</f>
        <v>10-Tropical High Forest</v>
      </c>
      <c r="M11" s="7" t="str">
        <f>area!M11</f>
        <v>80-Grassland</v>
      </c>
      <c r="N11" s="7">
        <f>VLOOKUP('CALC E'!B11,time!$A$2:$D$9,2,FALSE)</f>
        <v>2018</v>
      </c>
      <c r="O11" s="7">
        <f>VLOOKUP('CALC E'!B11,time!$A$2:$D$9,3,FALSE)</f>
        <v>2018</v>
      </c>
      <c r="P11" s="7" t="str">
        <f>VLOOKUP('CALC E'!B11,time!$A$2:$D$9,4,FALSE)</f>
        <v>REF</v>
      </c>
      <c r="Q11" s="7">
        <f t="shared" si="0"/>
        <v>1</v>
      </c>
      <c r="R11" s="41">
        <f>ROUND(_xlfn.T.INV.2T(1 - setup!$F$2, 10000)*F11/E11*100,setup!$G$2)</f>
        <v>116.28</v>
      </c>
      <c r="S11" s="23" cm="1">
        <f t="array" ref="S11">_xlfn.XLOOKUP(1, ('CALC EFRF'!$C$2:$C$74='CALC E'!C11)*('CALC EFRF'!$D$2:$D$74='CALC E'!D11),'CALC EFRF'!$I$2:$I$74)</f>
        <v>462.07</v>
      </c>
      <c r="T11" s="25" cm="1">
        <f t="array" ref="T11">_xlfn.XLOOKUP(1, ('CALC EFRF'!$C$2:$C$74='CALC E'!C11)*('CALC EFRF'!$D$2:$D$74='CALC E'!D11),'CALC EFRF'!$J$2:$J$74)</f>
        <v>35.333561644007922</v>
      </c>
      <c r="U11" s="43">
        <f>ROUND(E11*S11,setup!$G$2)</f>
        <v>1024909.26</v>
      </c>
      <c r="V11" s="43">
        <f>IF(setup!$E$2,'CALC E'!U11,'CALC E'!U11/'CALC E'!Q11)</f>
        <v>1024909.26</v>
      </c>
      <c r="W11" s="42">
        <f>ROUND(SQRT(R11^2+T11^2),setup!$G$2)</f>
        <v>121.53</v>
      </c>
      <c r="X11" s="50">
        <f t="shared" si="1"/>
        <v>1.5514501643981576E+16</v>
      </c>
    </row>
    <row r="12" spans="1:24" x14ac:dyDescent="0.15">
      <c r="A12" s="7">
        <f>area!A12</f>
        <v>11</v>
      </c>
      <c r="B12" s="7" t="str">
        <f>area!B12</f>
        <v>T2</v>
      </c>
      <c r="C12" s="7" t="str">
        <f>area!C12</f>
        <v>THF_log</v>
      </c>
      <c r="D12" s="7" t="str">
        <f>area!D12</f>
        <v>THF_log_deg</v>
      </c>
      <c r="E12" s="7">
        <f>area!E12</f>
        <v>3327.1233451704543</v>
      </c>
      <c r="F12" s="7">
        <f>area!F12</f>
        <v>1919.6117016602238</v>
      </c>
      <c r="G12" s="7" t="str">
        <f>area!G12</f>
        <v>normal</v>
      </c>
      <c r="H12" s="7">
        <f>area!H12</f>
        <v>0</v>
      </c>
      <c r="I12" s="7">
        <f>area!I12</f>
        <v>0</v>
      </c>
      <c r="J12" s="7">
        <f>area!J12</f>
        <v>0</v>
      </c>
      <c r="K12" s="7" t="str">
        <f>area!K12</f>
        <v>DG</v>
      </c>
      <c r="L12" s="7" t="str">
        <f>area!L12</f>
        <v>12-Tropical High Forest</v>
      </c>
      <c r="M12" s="7" t="str">
        <f>area!M12</f>
        <v>22-Tropical High Forest Degraded by logging</v>
      </c>
      <c r="N12" s="7">
        <f>VLOOKUP('CALC E'!B12,time!$A$2:$D$9,2,FALSE)</f>
        <v>2018</v>
      </c>
      <c r="O12" s="7">
        <f>VLOOKUP('CALC E'!B12,time!$A$2:$D$9,3,FALSE)</f>
        <v>2018</v>
      </c>
      <c r="P12" s="7" t="str">
        <f>VLOOKUP('CALC E'!B12,time!$A$2:$D$9,4,FALSE)</f>
        <v>REF</v>
      </c>
      <c r="Q12" s="7">
        <f t="shared" si="0"/>
        <v>1</v>
      </c>
      <c r="R12" s="41">
        <f>ROUND(_xlfn.T.INV.2T(1 - setup!$F$2, 10000)*F12/E12*100,setup!$G$2)</f>
        <v>94.91</v>
      </c>
      <c r="S12" s="23" cm="1">
        <f t="array" ref="S12">_xlfn.XLOOKUP(1, ('CALC EFRF'!$C$2:$C$74='CALC E'!C12)*('CALC EFRF'!$D$2:$D$74='CALC E'!D12),'CALC EFRF'!$I$2:$I$74)</f>
        <v>53.13</v>
      </c>
      <c r="T12" s="25" cm="1">
        <f t="array" ref="T12">_xlfn.XLOOKUP(1, ('CALC EFRF'!$C$2:$C$74='CALC E'!C12)*('CALC EFRF'!$D$2:$D$74='CALC E'!D12),'CALC EFRF'!$J$2:$J$74)</f>
        <v>430.12794533918657</v>
      </c>
      <c r="U12" s="43">
        <f>ROUND(E12*S12,setup!$G$2)</f>
        <v>176770.06</v>
      </c>
      <c r="V12" s="43">
        <f>IF(setup!$E$2,'CALC E'!U12,'CALC E'!U12/'CALC E'!Q12)</f>
        <v>176770.06</v>
      </c>
      <c r="W12" s="42">
        <f>ROUND(SQRT(R12^2+T12^2),setup!$G$2)</f>
        <v>440.47</v>
      </c>
      <c r="X12" s="50">
        <f t="shared" si="1"/>
        <v>6062476768509020</v>
      </c>
    </row>
    <row r="13" spans="1:24" x14ac:dyDescent="0.15">
      <c r="A13" s="7">
        <f>area!A13</f>
        <v>12</v>
      </c>
      <c r="B13" s="7" t="str">
        <f>area!B13</f>
        <v>T2</v>
      </c>
      <c r="C13" s="7" t="str">
        <f>area!C13</f>
        <v>WD</v>
      </c>
      <c r="D13" s="7" t="str">
        <f>area!D13</f>
        <v>CP_p</v>
      </c>
      <c r="E13" s="7">
        <f>area!E13</f>
        <v>2218.0822301136363</v>
      </c>
      <c r="F13" s="7">
        <f>area!F13</f>
        <v>1567.8885166231225</v>
      </c>
      <c r="G13" s="7" t="str">
        <f>area!G13</f>
        <v>normal</v>
      </c>
      <c r="H13" s="7">
        <f>area!H13</f>
        <v>0</v>
      </c>
      <c r="I13" s="7">
        <f>area!I13</f>
        <v>0</v>
      </c>
      <c r="J13" s="7">
        <f>area!J13</f>
        <v>0</v>
      </c>
      <c r="K13" s="7" t="str">
        <f>area!K13</f>
        <v>DF</v>
      </c>
      <c r="L13" s="7" t="str">
        <f>area!L13</f>
        <v>30-Woodlands</v>
      </c>
      <c r="M13" s="7" t="str">
        <f>area!M13</f>
        <v>71-Cropland_perennial</v>
      </c>
      <c r="N13" s="7">
        <f>VLOOKUP('CALC E'!B13,time!$A$2:$D$9,2,FALSE)</f>
        <v>2018</v>
      </c>
      <c r="O13" s="7">
        <f>VLOOKUP('CALC E'!B13,time!$A$2:$D$9,3,FALSE)</f>
        <v>2018</v>
      </c>
      <c r="P13" s="7" t="str">
        <f>VLOOKUP('CALC E'!B13,time!$A$2:$D$9,4,FALSE)</f>
        <v>REF</v>
      </c>
      <c r="Q13" s="7">
        <f t="shared" si="0"/>
        <v>1</v>
      </c>
      <c r="R13" s="41">
        <f>ROUND(_xlfn.T.INV.2T(1 - setup!$F$2, 10000)*F13/E13*100,setup!$G$2)</f>
        <v>116.28</v>
      </c>
      <c r="S13" s="23" cm="1">
        <f t="array" ref="S13">_xlfn.XLOOKUP(1, ('CALC EFRF'!$C$2:$C$74='CALC E'!C13)*('CALC EFRF'!$D$2:$D$74='CALC E'!D13),'CALC EFRF'!$I$2:$I$74)</f>
        <v>28.31</v>
      </c>
      <c r="T13" s="25" cm="1">
        <f t="array" ref="T13">_xlfn.XLOOKUP(1, ('CALC EFRF'!$C$2:$C$74='CALC E'!C13)*('CALC EFRF'!$D$2:$D$74='CALC E'!D13),'CALC EFRF'!$J$2:$J$74)</f>
        <v>91.474742071213043</v>
      </c>
      <c r="U13" s="43">
        <f>ROUND(E13*S13,setup!$G$2)</f>
        <v>62793.91</v>
      </c>
      <c r="V13" s="43">
        <f>IF(setup!$E$2,'CALC E'!U13,'CALC E'!U13/'CALC E'!Q13)</f>
        <v>62793.91</v>
      </c>
      <c r="W13" s="42">
        <f>ROUND(SQRT(R13^2+T13^2),setup!$G$2)</f>
        <v>147.94999999999999</v>
      </c>
      <c r="X13" s="50">
        <f t="shared" si="1"/>
        <v>86310770060879.875</v>
      </c>
    </row>
    <row r="14" spans="1:24" x14ac:dyDescent="0.15">
      <c r="A14" s="7">
        <f>area!A14</f>
        <v>13</v>
      </c>
      <c r="B14" s="7" t="str">
        <f>area!B14</f>
        <v>T2</v>
      </c>
      <c r="C14" s="7" t="str">
        <f>area!C14</f>
        <v>WD</v>
      </c>
      <c r="D14" s="7" t="str">
        <f>area!D14</f>
        <v>CP_a</v>
      </c>
      <c r="E14" s="7">
        <f>area!E14</f>
        <v>27438.10982948829</v>
      </c>
      <c r="F14" s="7">
        <f>area!F14</f>
        <v>6806.9615681731084</v>
      </c>
      <c r="G14" s="7" t="str">
        <f>area!G14</f>
        <v>normal</v>
      </c>
      <c r="H14" s="7">
        <f>area!H14</f>
        <v>0</v>
      </c>
      <c r="I14" s="7">
        <f>area!I14</f>
        <v>0</v>
      </c>
      <c r="J14" s="7">
        <f>area!J14</f>
        <v>0</v>
      </c>
      <c r="K14" s="7" t="str">
        <f>area!K14</f>
        <v>DF</v>
      </c>
      <c r="L14" s="7" t="str">
        <f>area!L14</f>
        <v>30-Woodlands</v>
      </c>
      <c r="M14" s="7" t="str">
        <f>area!M14</f>
        <v>72-Cropland_annual</v>
      </c>
      <c r="N14" s="7">
        <f>VLOOKUP('CALC E'!B14,time!$A$2:$D$9,2,FALSE)</f>
        <v>2018</v>
      </c>
      <c r="O14" s="7">
        <f>VLOOKUP('CALC E'!B14,time!$A$2:$D$9,3,FALSE)</f>
        <v>2018</v>
      </c>
      <c r="P14" s="7" t="str">
        <f>VLOOKUP('CALC E'!B14,time!$A$2:$D$9,4,FALSE)</f>
        <v>REF</v>
      </c>
      <c r="Q14" s="7">
        <f t="shared" si="0"/>
        <v>1</v>
      </c>
      <c r="R14" s="41">
        <f>ROUND(_xlfn.T.INV.2T(1 - setup!$F$2, 10000)*F14/E14*100,setup!$G$2)</f>
        <v>40.81</v>
      </c>
      <c r="S14" s="23" cm="1">
        <f t="array" ref="S14">_xlfn.XLOOKUP(1, ('CALC EFRF'!$C$2:$C$74='CALC E'!C14)*('CALC EFRF'!$D$2:$D$74='CALC E'!D14),'CALC EFRF'!$I$2:$I$74)</f>
        <v>23.61</v>
      </c>
      <c r="T14" s="25" cm="1">
        <f t="array" ref="T14">_xlfn.XLOOKUP(1, ('CALC EFRF'!$C$2:$C$74='CALC E'!C14)*('CALC EFRF'!$D$2:$D$74='CALC E'!D14),'CALC EFRF'!$J$2:$J$74)</f>
        <v>123.39708232306727</v>
      </c>
      <c r="U14" s="43">
        <f>ROUND(E14*S14,setup!$G$2)</f>
        <v>647813.77</v>
      </c>
      <c r="V14" s="43">
        <f>IF(setup!$E$2,'CALC E'!U14,'CALC E'!U14/'CALC E'!Q14)</f>
        <v>647813.77</v>
      </c>
      <c r="W14" s="42">
        <f>ROUND(SQRT(R14^2+T14^2),setup!$G$2)</f>
        <v>129.97</v>
      </c>
      <c r="X14" s="50">
        <f t="shared" si="1"/>
        <v>7089026310954979</v>
      </c>
    </row>
    <row r="15" spans="1:24" x14ac:dyDescent="0.15">
      <c r="A15" s="7">
        <f>area!A15</f>
        <v>14</v>
      </c>
      <c r="B15" s="7" t="str">
        <f>area!B15</f>
        <v>T2</v>
      </c>
      <c r="C15" s="7" t="str">
        <f>area!C15</f>
        <v>WD</v>
      </c>
      <c r="D15" s="7" t="str">
        <f>area!D15</f>
        <v>GL</v>
      </c>
      <c r="E15" s="7">
        <f>area!E15</f>
        <v>31549.304233548231</v>
      </c>
      <c r="F15" s="7">
        <f>area!F15</f>
        <v>7918.9423734819602</v>
      </c>
      <c r="G15" s="7" t="str">
        <f>area!G15</f>
        <v>normal</v>
      </c>
      <c r="H15" s="7">
        <f>area!H15</f>
        <v>0</v>
      </c>
      <c r="I15" s="7">
        <f>area!I15</f>
        <v>0</v>
      </c>
      <c r="J15" s="7">
        <f>area!J15</f>
        <v>0</v>
      </c>
      <c r="K15" s="7" t="str">
        <f>area!K15</f>
        <v>DF</v>
      </c>
      <c r="L15" s="7" t="str">
        <f>area!L15</f>
        <v>30-Woodlands</v>
      </c>
      <c r="M15" s="7" t="str">
        <f>area!M15</f>
        <v>80-Grassland</v>
      </c>
      <c r="N15" s="7">
        <f>VLOOKUP('CALC E'!B15,time!$A$2:$D$9,2,FALSE)</f>
        <v>2018</v>
      </c>
      <c r="O15" s="7">
        <f>VLOOKUP('CALC E'!B15,time!$A$2:$D$9,3,FALSE)</f>
        <v>2018</v>
      </c>
      <c r="P15" s="7" t="str">
        <f>VLOOKUP('CALC E'!B15,time!$A$2:$D$9,4,FALSE)</f>
        <v>REF</v>
      </c>
      <c r="Q15" s="7">
        <f t="shared" si="0"/>
        <v>1</v>
      </c>
      <c r="R15" s="41">
        <f>ROUND(_xlfn.T.INV.2T(1 - setup!$F$2, 10000)*F15/E15*100,setup!$G$2)</f>
        <v>41.29</v>
      </c>
      <c r="S15" s="23" cm="1">
        <f t="array" ref="S15">_xlfn.XLOOKUP(1, ('CALC EFRF'!$C$2:$C$74='CALC E'!C15)*('CALC EFRF'!$D$2:$D$74='CALC E'!D15),'CALC EFRF'!$I$2:$I$74)</f>
        <v>11</v>
      </c>
      <c r="T15" s="25" cm="1">
        <f t="array" ref="T15">_xlfn.XLOOKUP(1, ('CALC EFRF'!$C$2:$C$74='CALC E'!C15)*('CALC EFRF'!$D$2:$D$74='CALC E'!D15),'CALC EFRF'!$J$2:$J$74)</f>
        <v>283.61076563087113</v>
      </c>
      <c r="U15" s="43">
        <f>ROUND(E15*S15,setup!$G$2)</f>
        <v>347042.35</v>
      </c>
      <c r="V15" s="43">
        <f>IF(setup!$E$2,'CALC E'!U15,'CALC E'!U15/'CALC E'!Q15)</f>
        <v>347042.35</v>
      </c>
      <c r="W15" s="42">
        <f>ROUND(SQRT(R15^2+T15^2),setup!$G$2)</f>
        <v>286.60000000000002</v>
      </c>
      <c r="X15" s="50">
        <f t="shared" si="1"/>
        <v>9892756582953154</v>
      </c>
    </row>
    <row r="16" spans="1:24" x14ac:dyDescent="0.15">
      <c r="A16" s="7">
        <f>area!A16</f>
        <v>15</v>
      </c>
      <c r="B16" s="7" t="str">
        <f>area!B16</f>
        <v>T2</v>
      </c>
      <c r="C16" s="7" t="str">
        <f>area!C16</f>
        <v>WD_log</v>
      </c>
      <c r="D16" s="7" t="str">
        <f>area!D16</f>
        <v>WD_log_deg</v>
      </c>
      <c r="E16" s="7">
        <f>area!E16</f>
        <v>7415.7359273767925</v>
      </c>
      <c r="F16" s="7">
        <f>area!F16</f>
        <v>3849.857375583907</v>
      </c>
      <c r="G16" s="7" t="str">
        <f>area!G16</f>
        <v>normal</v>
      </c>
      <c r="H16" s="7">
        <f>area!H16</f>
        <v>0</v>
      </c>
      <c r="I16" s="7">
        <f>area!I16</f>
        <v>0</v>
      </c>
      <c r="J16" s="7">
        <f>area!J16</f>
        <v>0</v>
      </c>
      <c r="K16" s="7" t="str">
        <f>area!K16</f>
        <v>DG</v>
      </c>
      <c r="L16" s="7" t="str">
        <f>area!L16</f>
        <v>32-Woodlands</v>
      </c>
      <c r="M16" s="7" t="str">
        <f>area!M16</f>
        <v>42-Woodlands_Degraded_by_logging</v>
      </c>
      <c r="N16" s="7">
        <f>VLOOKUP('CALC E'!B16,time!$A$2:$D$9,2,FALSE)</f>
        <v>2018</v>
      </c>
      <c r="O16" s="7">
        <f>VLOOKUP('CALC E'!B16,time!$A$2:$D$9,3,FALSE)</f>
        <v>2018</v>
      </c>
      <c r="P16" s="7" t="str">
        <f>VLOOKUP('CALC E'!B16,time!$A$2:$D$9,4,FALSE)</f>
        <v>REF</v>
      </c>
      <c r="Q16" s="7">
        <f t="shared" si="0"/>
        <v>1</v>
      </c>
      <c r="R16" s="41">
        <f>ROUND(_xlfn.T.INV.2T(1 - setup!$F$2, 10000)*F16/E16*100,setup!$G$2)</f>
        <v>85.4</v>
      </c>
      <c r="S16" s="23" cm="1">
        <f t="array" ref="S16">_xlfn.XLOOKUP(1, ('CALC EFRF'!$C$2:$C$74='CALC E'!C16)*('CALC EFRF'!$D$2:$D$74='CALC E'!D16),'CALC EFRF'!$I$2:$I$74)</f>
        <v>4.4000000000000004</v>
      </c>
      <c r="T16" s="25" cm="1">
        <f t="array" ref="T16">_xlfn.XLOOKUP(1, ('CALC EFRF'!$C$2:$C$74='CALC E'!C16)*('CALC EFRF'!$D$2:$D$74='CALC E'!D16),'CALC EFRF'!$J$2:$J$74)</f>
        <v>780.42477636742024</v>
      </c>
      <c r="U16" s="43">
        <f>ROUND(E16*S16,setup!$G$2)</f>
        <v>32629.24</v>
      </c>
      <c r="V16" s="43">
        <f>IF(setup!$E$2,'CALC E'!U16,'CALC E'!U16/'CALC E'!Q16)</f>
        <v>32629.24</v>
      </c>
      <c r="W16" s="42">
        <f>ROUND(SQRT(R16^2+T16^2),setup!$G$2)</f>
        <v>785.08</v>
      </c>
      <c r="X16" s="50">
        <f t="shared" si="1"/>
        <v>656208337804496.5</v>
      </c>
    </row>
    <row r="17" spans="1:24" x14ac:dyDescent="0.15">
      <c r="A17" s="7">
        <f>area!A17</f>
        <v>16</v>
      </c>
      <c r="B17" s="7" t="str">
        <f>area!B17</f>
        <v>T2</v>
      </c>
      <c r="C17" s="7" t="str">
        <f>area!C17</f>
        <v>FPc</v>
      </c>
      <c r="D17" s="7" t="str">
        <f>area!D17</f>
        <v>CP_a</v>
      </c>
      <c r="E17" s="7">
        <f>area!E17</f>
        <v>1109.0411150568182</v>
      </c>
      <c r="F17" s="7">
        <f>area!F17</f>
        <v>1109.0370699368061</v>
      </c>
      <c r="G17" s="7" t="str">
        <f>area!G17</f>
        <v>normal</v>
      </c>
      <c r="H17" s="7">
        <f>area!H17</f>
        <v>0</v>
      </c>
      <c r="I17" s="7">
        <f>area!I17</f>
        <v>0</v>
      </c>
      <c r="J17" s="7">
        <f>area!J17</f>
        <v>0</v>
      </c>
      <c r="K17" s="7" t="str">
        <f>area!K17</f>
        <v>DF</v>
      </c>
      <c r="L17" s="7" t="str">
        <f>area!L17</f>
        <v>51-Plantations commercial</v>
      </c>
      <c r="M17" s="7" t="str">
        <f>area!M17</f>
        <v>72-Cropland_annual</v>
      </c>
      <c r="N17" s="7">
        <f>VLOOKUP('CALC E'!B17,time!$A$2:$D$9,2,FALSE)</f>
        <v>2018</v>
      </c>
      <c r="O17" s="7">
        <f>VLOOKUP('CALC E'!B17,time!$A$2:$D$9,3,FALSE)</f>
        <v>2018</v>
      </c>
      <c r="P17" s="7" t="str">
        <f>VLOOKUP('CALC E'!B17,time!$A$2:$D$9,4,FALSE)</f>
        <v>REF</v>
      </c>
      <c r="Q17" s="7">
        <f t="shared" si="0"/>
        <v>1</v>
      </c>
      <c r="R17" s="41">
        <f>ROUND(_xlfn.T.INV.2T(1 - setup!$F$2, 10000)*F17/E17*100,setup!$G$2)</f>
        <v>164.5</v>
      </c>
      <c r="S17" s="23" cm="1">
        <f t="array" ref="S17">_xlfn.XLOOKUP(1, ('CALC EFRF'!$C$2:$C$74='CALC E'!C17)*('CALC EFRF'!$D$2:$D$74='CALC E'!D17),'CALC EFRF'!$I$2:$I$74)</f>
        <v>191.47</v>
      </c>
      <c r="T17" s="25" cm="1">
        <f t="array" ref="T17">_xlfn.XLOOKUP(1, ('CALC EFRF'!$C$2:$C$74='CALC E'!C17)*('CALC EFRF'!$D$2:$D$74='CALC E'!D17),'CALC EFRF'!$J$2:$J$74)</f>
        <v>39.412494342012806</v>
      </c>
      <c r="U17" s="43">
        <f>ROUND(E17*S17,setup!$G$2)</f>
        <v>212348.1</v>
      </c>
      <c r="V17" s="43">
        <f>IF(setup!$E$2,'CALC E'!U17,'CALC E'!U17/'CALC E'!Q17)</f>
        <v>212348.1</v>
      </c>
      <c r="W17" s="42">
        <f>ROUND(SQRT(R17^2+T17^2),setup!$G$2)</f>
        <v>169.16</v>
      </c>
      <c r="X17" s="50">
        <f t="shared" si="1"/>
        <v>1290304202824014.8</v>
      </c>
    </row>
    <row r="18" spans="1:24" x14ac:dyDescent="0.15">
      <c r="A18" s="7">
        <f>area!A18</f>
        <v>17</v>
      </c>
      <c r="B18" s="7" t="str">
        <f>area!B18</f>
        <v>T2</v>
      </c>
      <c r="C18" s="7" t="str">
        <f>area!C18</f>
        <v>FPnc</v>
      </c>
      <c r="D18" s="7" t="str">
        <f>area!D18</f>
        <v>CP_p</v>
      </c>
      <c r="E18" s="7">
        <f>area!E18</f>
        <v>1109.0411150568182</v>
      </c>
      <c r="F18" s="7">
        <f>area!F18</f>
        <v>1109.0370699368061</v>
      </c>
      <c r="G18" s="7" t="str">
        <f>area!G18</f>
        <v>normal</v>
      </c>
      <c r="H18" s="7">
        <f>area!H18</f>
        <v>0</v>
      </c>
      <c r="I18" s="7">
        <f>area!I18</f>
        <v>0</v>
      </c>
      <c r="J18" s="7">
        <f>area!J18</f>
        <v>0</v>
      </c>
      <c r="K18" s="7" t="str">
        <f>area!K18</f>
        <v>DF</v>
      </c>
      <c r="L18" s="7" t="str">
        <f>area!L18</f>
        <v>52-Plantations non commercial</v>
      </c>
      <c r="M18" s="7" t="str">
        <f>area!M18</f>
        <v>71-Cropland_perennial</v>
      </c>
      <c r="N18" s="7">
        <f>VLOOKUP('CALC E'!B18,time!$A$2:$D$9,2,FALSE)</f>
        <v>2018</v>
      </c>
      <c r="O18" s="7">
        <f>VLOOKUP('CALC E'!B18,time!$A$2:$D$9,3,FALSE)</f>
        <v>2018</v>
      </c>
      <c r="P18" s="7" t="str">
        <f>VLOOKUP('CALC E'!B18,time!$A$2:$D$9,4,FALSE)</f>
        <v>REF</v>
      </c>
      <c r="Q18" s="7">
        <f t="shared" si="0"/>
        <v>1</v>
      </c>
      <c r="R18" s="41">
        <f>ROUND(_xlfn.T.INV.2T(1 - setup!$F$2, 10000)*F18/E18*100,setup!$G$2)</f>
        <v>164.5</v>
      </c>
      <c r="S18" s="23" cm="1">
        <f t="array" ref="S18">_xlfn.XLOOKUP(1, ('CALC EFRF'!$C$2:$C$74='CALC E'!C18)*('CALC EFRF'!$D$2:$D$74='CALC E'!D18),'CALC EFRF'!$I$2:$I$74)</f>
        <v>196.17</v>
      </c>
      <c r="T18" s="25" cm="1">
        <f t="array" ref="T18">_xlfn.XLOOKUP(1, ('CALC EFRF'!$C$2:$C$74='CALC E'!C18)*('CALC EFRF'!$D$2:$D$74='CALC E'!D18),'CALC EFRF'!$J$2:$J$74)</f>
        <v>37.861635383355271</v>
      </c>
      <c r="U18" s="43">
        <f>ROUND(E18*S18,setup!$G$2)</f>
        <v>217560.6</v>
      </c>
      <c r="V18" s="43">
        <f>IF(setup!$E$2,'CALC E'!U18,'CALC E'!U18/'CALC E'!Q18)</f>
        <v>217560.6</v>
      </c>
      <c r="W18" s="42">
        <f>ROUND(SQRT(R18^2+T18^2),setup!$G$2)</f>
        <v>168.8</v>
      </c>
      <c r="X18" s="50">
        <f t="shared" si="1"/>
        <v>1348669016210009.5</v>
      </c>
    </row>
    <row r="19" spans="1:24" x14ac:dyDescent="0.15">
      <c r="A19" s="7">
        <f>area!A19</f>
        <v>18</v>
      </c>
      <c r="B19" s="7" t="str">
        <f>area!B19</f>
        <v>T3</v>
      </c>
      <c r="C19" s="7" t="str">
        <f>area!C19</f>
        <v>THF</v>
      </c>
      <c r="D19" s="7" t="str">
        <f>area!D19</f>
        <v>CP_p</v>
      </c>
      <c r="E19" s="7">
        <f>area!E19</f>
        <v>1109.0411150568182</v>
      </c>
      <c r="F19" s="7">
        <f>area!F19</f>
        <v>1109.0370699368061</v>
      </c>
      <c r="G19" s="7" t="str">
        <f>area!G19</f>
        <v>normal</v>
      </c>
      <c r="H19" s="7">
        <f>area!H19</f>
        <v>0</v>
      </c>
      <c r="I19" s="7">
        <f>area!I19</f>
        <v>0</v>
      </c>
      <c r="J19" s="7">
        <f>area!J19</f>
        <v>0</v>
      </c>
      <c r="K19" s="7" t="str">
        <f>area!K19</f>
        <v>DF</v>
      </c>
      <c r="L19" s="7" t="str">
        <f>area!L19</f>
        <v>10-Tropical High Forest</v>
      </c>
      <c r="M19" s="7" t="str">
        <f>area!M19</f>
        <v>71-Cropland_perennial</v>
      </c>
      <c r="N19" s="7">
        <f>VLOOKUP('CALC E'!B19,time!$A$2:$D$9,2,FALSE)</f>
        <v>2019</v>
      </c>
      <c r="O19" s="7">
        <f>VLOOKUP('CALC E'!B19,time!$A$2:$D$9,3,FALSE)</f>
        <v>2019</v>
      </c>
      <c r="P19" s="7" t="str">
        <f>VLOOKUP('CALC E'!B19,time!$A$2:$D$9,4,FALSE)</f>
        <v>REF</v>
      </c>
      <c r="Q19" s="7">
        <f t="shared" si="0"/>
        <v>1</v>
      </c>
      <c r="R19" s="41">
        <f>ROUND(_xlfn.T.INV.2T(1 - setup!$F$2, 10000)*F19/E19*100,setup!$G$2)</f>
        <v>164.5</v>
      </c>
      <c r="S19" s="23" cm="1">
        <f t="array" ref="S19">_xlfn.XLOOKUP(1, ('CALC EFRF'!$C$2:$C$74='CALC E'!C19)*('CALC EFRF'!$D$2:$D$74='CALC E'!D19),'CALC EFRF'!$I$2:$I$74)</f>
        <v>479.38</v>
      </c>
      <c r="T19" s="25" cm="1">
        <f t="array" ref="T19">_xlfn.XLOOKUP(1, ('CALC EFRF'!$C$2:$C$74='CALC E'!C19)*('CALC EFRF'!$D$2:$D$74='CALC E'!D19),'CALC EFRF'!$J$2:$J$74)</f>
        <v>33.86395383490369</v>
      </c>
      <c r="U19" s="43">
        <f>ROUND(E19*S19,setup!$G$2)</f>
        <v>531652.13</v>
      </c>
      <c r="V19" s="43">
        <f>IF(setup!$E$2,'CALC E'!U19,'CALC E'!U19/'CALC E'!Q19)</f>
        <v>531652.13</v>
      </c>
      <c r="W19" s="42">
        <f>ROUND(SQRT(R19^2+T19^2),setup!$G$2)</f>
        <v>167.95</v>
      </c>
      <c r="X19" s="50">
        <f t="shared" si="1"/>
        <v>7972878258149508</v>
      </c>
    </row>
    <row r="20" spans="1:24" x14ac:dyDescent="0.15">
      <c r="A20" s="7">
        <f>area!A20</f>
        <v>19</v>
      </c>
      <c r="B20" s="7" t="str">
        <f>area!B20</f>
        <v>T3</v>
      </c>
      <c r="C20" s="7" t="str">
        <f>area!C20</f>
        <v>WD</v>
      </c>
      <c r="D20" s="7" t="str">
        <f>area!D20</f>
        <v>CP_a</v>
      </c>
      <c r="E20" s="7">
        <f>area!E20</f>
        <v>9241.1026357622904</v>
      </c>
      <c r="F20" s="7">
        <f>area!F20</f>
        <v>3599.8036292855313</v>
      </c>
      <c r="G20" s="7" t="str">
        <f>area!G20</f>
        <v>normal</v>
      </c>
      <c r="H20" s="7">
        <f>area!H20</f>
        <v>0</v>
      </c>
      <c r="I20" s="7">
        <f>area!I20</f>
        <v>0</v>
      </c>
      <c r="J20" s="7">
        <f>area!J20</f>
        <v>0</v>
      </c>
      <c r="K20" s="7" t="str">
        <f>area!K20</f>
        <v>DF</v>
      </c>
      <c r="L20" s="7" t="str">
        <f>area!L20</f>
        <v>30-Woodlands</v>
      </c>
      <c r="M20" s="7" t="str">
        <f>area!M20</f>
        <v>72-Cropland_annual</v>
      </c>
      <c r="N20" s="7">
        <f>VLOOKUP('CALC E'!B20,time!$A$2:$D$9,2,FALSE)</f>
        <v>2019</v>
      </c>
      <c r="O20" s="7">
        <f>VLOOKUP('CALC E'!B20,time!$A$2:$D$9,3,FALSE)</f>
        <v>2019</v>
      </c>
      <c r="P20" s="7" t="str">
        <f>VLOOKUP('CALC E'!B20,time!$A$2:$D$9,4,FALSE)</f>
        <v>REF</v>
      </c>
      <c r="Q20" s="7">
        <f t="shared" si="0"/>
        <v>1</v>
      </c>
      <c r="R20" s="41">
        <f>ROUND(_xlfn.T.INV.2T(1 - setup!$F$2, 10000)*F20/E20*100,setup!$G$2)</f>
        <v>64.08</v>
      </c>
      <c r="S20" s="23" cm="1">
        <f t="array" ref="S20">_xlfn.XLOOKUP(1, ('CALC EFRF'!$C$2:$C$74='CALC E'!C20)*('CALC EFRF'!$D$2:$D$74='CALC E'!D20),'CALC EFRF'!$I$2:$I$74)</f>
        <v>23.61</v>
      </c>
      <c r="T20" s="25" cm="1">
        <f t="array" ref="T20">_xlfn.XLOOKUP(1, ('CALC EFRF'!$C$2:$C$74='CALC E'!C20)*('CALC EFRF'!$D$2:$D$74='CALC E'!D20),'CALC EFRF'!$J$2:$J$74)</f>
        <v>123.39708232306727</v>
      </c>
      <c r="U20" s="43">
        <f>ROUND(E20*S20,setup!$G$2)</f>
        <v>218182.43</v>
      </c>
      <c r="V20" s="43">
        <f>IF(setup!$E$2,'CALC E'!U20,'CALC E'!U20/'CALC E'!Q20)</f>
        <v>218182.43</v>
      </c>
      <c r="W20" s="42">
        <f>ROUND(SQRT(R20^2+T20^2),setup!$G$2)</f>
        <v>139.04</v>
      </c>
      <c r="X20" s="50">
        <f t="shared" si="1"/>
        <v>920278057204394.62</v>
      </c>
    </row>
    <row r="21" spans="1:24" x14ac:dyDescent="0.15">
      <c r="A21" s="7">
        <f>area!A21</f>
        <v>20</v>
      </c>
      <c r="B21" s="7" t="str">
        <f>area!B21</f>
        <v>T3</v>
      </c>
      <c r="C21" s="7" t="str">
        <f>area!C21</f>
        <v>WD</v>
      </c>
      <c r="D21" s="7" t="str">
        <f>area!D21</f>
        <v>GL</v>
      </c>
      <c r="E21" s="7">
        <f>area!E21</f>
        <v>16203.522322751101</v>
      </c>
      <c r="F21" s="7">
        <f>area!F21</f>
        <v>5976.0736393746247</v>
      </c>
      <c r="G21" s="7" t="str">
        <f>area!G21</f>
        <v>normal</v>
      </c>
      <c r="H21" s="7">
        <f>area!H21</f>
        <v>0</v>
      </c>
      <c r="I21" s="7">
        <f>area!I21</f>
        <v>0</v>
      </c>
      <c r="J21" s="7">
        <f>area!J21</f>
        <v>0</v>
      </c>
      <c r="K21" s="7" t="str">
        <f>area!K21</f>
        <v>DF</v>
      </c>
      <c r="L21" s="7" t="str">
        <f>area!L21</f>
        <v>30-Woodlands</v>
      </c>
      <c r="M21" s="7" t="str">
        <f>area!M21</f>
        <v>80-Grassland</v>
      </c>
      <c r="N21" s="7">
        <f>VLOOKUP('CALC E'!B21,time!$A$2:$D$9,2,FALSE)</f>
        <v>2019</v>
      </c>
      <c r="O21" s="7">
        <f>VLOOKUP('CALC E'!B21,time!$A$2:$D$9,3,FALSE)</f>
        <v>2019</v>
      </c>
      <c r="P21" s="7" t="str">
        <f>VLOOKUP('CALC E'!B21,time!$A$2:$D$9,4,FALSE)</f>
        <v>REF</v>
      </c>
      <c r="Q21" s="7">
        <f t="shared" si="0"/>
        <v>1</v>
      </c>
      <c r="R21" s="41">
        <f>ROUND(_xlfn.T.INV.2T(1 - setup!$F$2, 10000)*F21/E21*100,setup!$G$2)</f>
        <v>60.67</v>
      </c>
      <c r="S21" s="23" cm="1">
        <f t="array" ref="S21">_xlfn.XLOOKUP(1, ('CALC EFRF'!$C$2:$C$74='CALC E'!C21)*('CALC EFRF'!$D$2:$D$74='CALC E'!D21),'CALC EFRF'!$I$2:$I$74)</f>
        <v>11</v>
      </c>
      <c r="T21" s="25" cm="1">
        <f t="array" ref="T21">_xlfn.XLOOKUP(1, ('CALC EFRF'!$C$2:$C$74='CALC E'!C21)*('CALC EFRF'!$D$2:$D$74='CALC E'!D21),'CALC EFRF'!$J$2:$J$74)</f>
        <v>283.61076563087113</v>
      </c>
      <c r="U21" s="43">
        <f>ROUND(E21*S21,setup!$G$2)</f>
        <v>178238.75</v>
      </c>
      <c r="V21" s="43">
        <f>IF(setup!$E$2,'CALC E'!U21,'CALC E'!U21/'CALC E'!Q21)</f>
        <v>178238.75</v>
      </c>
      <c r="W21" s="42">
        <f>ROUND(SQRT(R21^2+T21^2),setup!$G$2)</f>
        <v>290.02999999999997</v>
      </c>
      <c r="X21" s="50">
        <f t="shared" si="1"/>
        <v>2672330083428379.5</v>
      </c>
    </row>
    <row r="22" spans="1:24" x14ac:dyDescent="0.15">
      <c r="A22" s="7">
        <f>area!A22</f>
        <v>21</v>
      </c>
      <c r="B22" s="7" t="str">
        <f>area!B22</f>
        <v>T3</v>
      </c>
      <c r="C22" s="7" t="str">
        <f>area!C22</f>
        <v>WD_log</v>
      </c>
      <c r="D22" s="7" t="str">
        <f>area!D22</f>
        <v>WD_log_deg</v>
      </c>
      <c r="E22" s="7">
        <f>area!E22</f>
        <v>1847.9485302390999</v>
      </c>
      <c r="F22" s="7">
        <f>area!F22</f>
        <v>1847.9417900258838</v>
      </c>
      <c r="G22" s="7" t="str">
        <f>area!G22</f>
        <v>normal</v>
      </c>
      <c r="H22" s="7">
        <f>area!H22</f>
        <v>0</v>
      </c>
      <c r="I22" s="7">
        <f>area!I22</f>
        <v>0</v>
      </c>
      <c r="J22" s="7">
        <f>area!J22</f>
        <v>0</v>
      </c>
      <c r="K22" s="7" t="str">
        <f>area!K22</f>
        <v>DG</v>
      </c>
      <c r="L22" s="7" t="str">
        <f>area!L22</f>
        <v>32-Woodlands</v>
      </c>
      <c r="M22" s="7" t="str">
        <f>area!M22</f>
        <v>42-Woodlands_Degraded_by_logging</v>
      </c>
      <c r="N22" s="7">
        <f>VLOOKUP('CALC E'!B22,time!$A$2:$D$9,2,FALSE)</f>
        <v>2019</v>
      </c>
      <c r="O22" s="7">
        <f>VLOOKUP('CALC E'!B22,time!$A$2:$D$9,3,FALSE)</f>
        <v>2019</v>
      </c>
      <c r="P22" s="7" t="str">
        <f>VLOOKUP('CALC E'!B22,time!$A$2:$D$9,4,FALSE)</f>
        <v>REF</v>
      </c>
      <c r="Q22" s="7">
        <f t="shared" si="0"/>
        <v>1</v>
      </c>
      <c r="R22" s="41">
        <f>ROUND(_xlfn.T.INV.2T(1 - setup!$F$2, 10000)*F22/E22*100,setup!$G$2)</f>
        <v>164.5</v>
      </c>
      <c r="S22" s="23" cm="1">
        <f t="array" ref="S22">_xlfn.XLOOKUP(1, ('CALC EFRF'!$C$2:$C$74='CALC E'!C22)*('CALC EFRF'!$D$2:$D$74='CALC E'!D22),'CALC EFRF'!$I$2:$I$74)</f>
        <v>4.4000000000000004</v>
      </c>
      <c r="T22" s="25" cm="1">
        <f t="array" ref="T22">_xlfn.XLOOKUP(1, ('CALC EFRF'!$C$2:$C$74='CALC E'!C22)*('CALC EFRF'!$D$2:$D$74='CALC E'!D22),'CALC EFRF'!$J$2:$J$74)</f>
        <v>780.42477636742024</v>
      </c>
      <c r="U22" s="43">
        <f>ROUND(E22*S22,setup!$G$2)</f>
        <v>8130.97</v>
      </c>
      <c r="V22" s="43">
        <f>IF(setup!$E$2,'CALC E'!U22,'CALC E'!U22/'CALC E'!Q22)</f>
        <v>8130.97</v>
      </c>
      <c r="W22" s="42">
        <f>ROUND(SQRT(R22^2+T22^2),setup!$G$2)</f>
        <v>797.57</v>
      </c>
      <c r="X22" s="50">
        <f t="shared" si="1"/>
        <v>42055455125727.82</v>
      </c>
    </row>
    <row r="23" spans="1:24" x14ac:dyDescent="0.15">
      <c r="A23" s="7">
        <f>area!A23</f>
        <v>22</v>
      </c>
      <c r="B23" s="7" t="str">
        <f>area!B23</f>
        <v>T3</v>
      </c>
      <c r="C23" s="7" t="str">
        <f>area!C23</f>
        <v>WD_charc</v>
      </c>
      <c r="D23" s="7" t="str">
        <f>area!D23</f>
        <v>WD_charc_deg</v>
      </c>
      <c r="E23" s="7">
        <f>area!E23</f>
        <v>2572.3857580398162</v>
      </c>
      <c r="F23" s="7">
        <f>area!F23</f>
        <v>2572.3763755120031</v>
      </c>
      <c r="G23" s="7" t="str">
        <f>area!G23</f>
        <v>normal</v>
      </c>
      <c r="H23" s="7">
        <f>area!H23</f>
        <v>0</v>
      </c>
      <c r="I23" s="7">
        <f>area!I23</f>
        <v>0</v>
      </c>
      <c r="J23" s="7">
        <f>area!J23</f>
        <v>0</v>
      </c>
      <c r="K23" s="7" t="str">
        <f>area!K23</f>
        <v>DG</v>
      </c>
      <c r="L23" s="7" t="str">
        <f>area!L23</f>
        <v>33-Woodlands</v>
      </c>
      <c r="M23" s="7" t="str">
        <f>area!M23</f>
        <v>43-Woodlands_Degraded_by_charcoal</v>
      </c>
      <c r="N23" s="7">
        <f>VLOOKUP('CALC E'!B23,time!$A$2:$D$9,2,FALSE)</f>
        <v>2019</v>
      </c>
      <c r="O23" s="7">
        <f>VLOOKUP('CALC E'!B23,time!$A$2:$D$9,3,FALSE)</f>
        <v>2019</v>
      </c>
      <c r="P23" s="7" t="str">
        <f>VLOOKUP('CALC E'!B23,time!$A$2:$D$9,4,FALSE)</f>
        <v>REF</v>
      </c>
      <c r="Q23" s="7">
        <f t="shared" si="0"/>
        <v>1</v>
      </c>
      <c r="R23" s="41">
        <f>ROUND(_xlfn.T.INV.2T(1 - setup!$F$2, 10000)*F23/E23*100,setup!$G$2)</f>
        <v>164.5</v>
      </c>
      <c r="S23" s="23" cm="1">
        <f t="array" ref="S23">_xlfn.XLOOKUP(1, ('CALC EFRF'!$C$2:$C$74='CALC E'!C23)*('CALC EFRF'!$D$2:$D$74='CALC E'!D23),'CALC EFRF'!$I$2:$I$74)</f>
        <v>4.4000000000000004</v>
      </c>
      <c r="T23" s="25" cm="1">
        <f t="array" ref="T23">_xlfn.XLOOKUP(1, ('CALC EFRF'!$C$2:$C$74='CALC E'!C23)*('CALC EFRF'!$D$2:$D$74='CALC E'!D23),'CALC EFRF'!$J$2:$J$74)</f>
        <v>780.42477636742024</v>
      </c>
      <c r="U23" s="43">
        <f>ROUND(E23*S23,setup!$G$2)</f>
        <v>11318.5</v>
      </c>
      <c r="V23" s="43">
        <f>IF(setup!$E$2,'CALC E'!U23,'CALC E'!U23/'CALC E'!Q23)</f>
        <v>11318.5</v>
      </c>
      <c r="W23" s="42">
        <f>ROUND(SQRT(R23^2+T23^2),setup!$G$2)</f>
        <v>797.57</v>
      </c>
      <c r="X23" s="50">
        <f t="shared" si="1"/>
        <v>81492073884072.641</v>
      </c>
    </row>
    <row r="24" spans="1:24" x14ac:dyDescent="0.15">
      <c r="A24" s="7">
        <f>area!A24</f>
        <v>23</v>
      </c>
      <c r="B24" s="7" t="str">
        <f>area!B24</f>
        <v>T3</v>
      </c>
      <c r="C24" s="7" t="str">
        <f>area!C24</f>
        <v>WD_other</v>
      </c>
      <c r="D24" s="7" t="str">
        <f>area!D24</f>
        <v>WD_other_deg</v>
      </c>
      <c r="E24" s="7">
        <f>area!E24</f>
        <v>1847.9485302390999</v>
      </c>
      <c r="F24" s="7">
        <f>area!F24</f>
        <v>1847.9417900258838</v>
      </c>
      <c r="G24" s="7" t="str">
        <f>area!G24</f>
        <v>normal</v>
      </c>
      <c r="H24" s="7">
        <f>area!H24</f>
        <v>0</v>
      </c>
      <c r="I24" s="7">
        <f>area!I24</f>
        <v>0</v>
      </c>
      <c r="J24" s="7">
        <f>area!J24</f>
        <v>0</v>
      </c>
      <c r="K24" s="7" t="str">
        <f>area!K24</f>
        <v>DG</v>
      </c>
      <c r="L24" s="7" t="str">
        <f>area!L24</f>
        <v>34-Woodlands</v>
      </c>
      <c r="M24" s="7" t="str">
        <f>area!M24</f>
        <v>44-Woodlands_Degraded_by_other</v>
      </c>
      <c r="N24" s="7">
        <f>VLOOKUP('CALC E'!B24,time!$A$2:$D$9,2,FALSE)</f>
        <v>2019</v>
      </c>
      <c r="O24" s="7">
        <f>VLOOKUP('CALC E'!B24,time!$A$2:$D$9,3,FALSE)</f>
        <v>2019</v>
      </c>
      <c r="P24" s="7" t="str">
        <f>VLOOKUP('CALC E'!B24,time!$A$2:$D$9,4,FALSE)</f>
        <v>REF</v>
      </c>
      <c r="Q24" s="7">
        <f t="shared" si="0"/>
        <v>1</v>
      </c>
      <c r="R24" s="41">
        <f>ROUND(_xlfn.T.INV.2T(1 - setup!$F$2, 10000)*F24/E24*100,setup!$G$2)</f>
        <v>164.5</v>
      </c>
      <c r="S24" s="23" cm="1">
        <f t="array" ref="S24">_xlfn.XLOOKUP(1, ('CALC EFRF'!$C$2:$C$74='CALC E'!C24)*('CALC EFRF'!$D$2:$D$74='CALC E'!D24),'CALC EFRF'!$I$2:$I$74)</f>
        <v>8.32</v>
      </c>
      <c r="T24" s="25" cm="1">
        <f t="array" ref="T24">_xlfn.XLOOKUP(1, ('CALC EFRF'!$C$2:$C$74='CALC E'!C24)*('CALC EFRF'!$D$2:$D$74='CALC E'!D24),'CALC EFRF'!$J$2:$J$74)</f>
        <v>401.27519569826086</v>
      </c>
      <c r="U24" s="43">
        <f>ROUND(E24*S24,setup!$G$2)</f>
        <v>15374.93</v>
      </c>
      <c r="V24" s="43">
        <f>IF(setup!$E$2,'CALC E'!U24,'CALC E'!U24/'CALC E'!Q24)</f>
        <v>15374.93</v>
      </c>
      <c r="W24" s="42">
        <f>ROUND(SQRT(R24^2+T24^2),setup!$G$2)</f>
        <v>433.68</v>
      </c>
      <c r="X24" s="50">
        <f t="shared" si="1"/>
        <v>44459552071189.57</v>
      </c>
    </row>
    <row r="25" spans="1:24" x14ac:dyDescent="0.15">
      <c r="A25" s="7">
        <f>area!A25</f>
        <v>24</v>
      </c>
      <c r="B25" s="7" t="str">
        <f>area!B25</f>
        <v>T3</v>
      </c>
      <c r="C25" s="7" t="str">
        <f>area!C25</f>
        <v>FPc</v>
      </c>
      <c r="D25" s="7" t="str">
        <f>area!D25</f>
        <v>GL</v>
      </c>
      <c r="E25" s="7">
        <f>area!E25</f>
        <v>2572.3857580398162</v>
      </c>
      <c r="F25" s="7">
        <f>area!F25</f>
        <v>2572.3763755120031</v>
      </c>
      <c r="G25" s="7" t="str">
        <f>area!G25</f>
        <v>normal</v>
      </c>
      <c r="H25" s="7">
        <f>area!H25</f>
        <v>0</v>
      </c>
      <c r="I25" s="7">
        <f>area!I25</f>
        <v>0</v>
      </c>
      <c r="J25" s="7">
        <f>area!J25</f>
        <v>0</v>
      </c>
      <c r="K25" s="7" t="str">
        <f>area!K25</f>
        <v>DF</v>
      </c>
      <c r="L25" s="7" t="str">
        <f>area!L25</f>
        <v>51-Plantations commercial</v>
      </c>
      <c r="M25" s="7" t="str">
        <f>area!M25</f>
        <v>80-Grassland</v>
      </c>
      <c r="N25" s="7">
        <f>VLOOKUP('CALC E'!B25,time!$A$2:$D$9,2,FALSE)</f>
        <v>2019</v>
      </c>
      <c r="O25" s="7">
        <f>VLOOKUP('CALC E'!B25,time!$A$2:$D$9,3,FALSE)</f>
        <v>2019</v>
      </c>
      <c r="P25" s="7" t="str">
        <f>VLOOKUP('CALC E'!B25,time!$A$2:$D$9,4,FALSE)</f>
        <v>REF</v>
      </c>
      <c r="Q25" s="7">
        <f t="shared" si="0"/>
        <v>1</v>
      </c>
      <c r="R25" s="41">
        <f>ROUND(_xlfn.T.INV.2T(1 - setup!$F$2, 10000)*F25/E25*100,setup!$G$2)</f>
        <v>164.5</v>
      </c>
      <c r="S25" s="23" cm="1">
        <f t="array" ref="S25">_xlfn.XLOOKUP(1, ('CALC EFRF'!$C$2:$C$74='CALC E'!C25)*('CALC EFRF'!$D$2:$D$74='CALC E'!D25),'CALC EFRF'!$I$2:$I$74)</f>
        <v>178.86</v>
      </c>
      <c r="T25" s="25" cm="1">
        <f t="array" ref="T25">_xlfn.XLOOKUP(1, ('CALC EFRF'!$C$2:$C$74='CALC E'!C25)*('CALC EFRF'!$D$2:$D$74='CALC E'!D25),'CALC EFRF'!$J$2:$J$74)</f>
        <v>42.649608790315959</v>
      </c>
      <c r="U25" s="43">
        <f>ROUND(E25*S25,setup!$G$2)</f>
        <v>460096.92</v>
      </c>
      <c r="V25" s="43">
        <f>IF(setup!$E$2,'CALC E'!U25,'CALC E'!U25/'CALC E'!Q25)</f>
        <v>460096.92</v>
      </c>
      <c r="W25" s="42">
        <f>ROUND(SQRT(R25^2+T25^2),setup!$G$2)</f>
        <v>169.94</v>
      </c>
      <c r="X25" s="50">
        <f t="shared" si="1"/>
        <v>6113499483326601</v>
      </c>
    </row>
    <row r="26" spans="1:24" x14ac:dyDescent="0.15">
      <c r="A26" s="7">
        <f>area!A26</f>
        <v>25</v>
      </c>
      <c r="B26" s="7" t="str">
        <f>area!B26</f>
        <v>T3</v>
      </c>
      <c r="C26" s="7" t="str">
        <f>area!C26</f>
        <v>FPnc</v>
      </c>
      <c r="D26" s="7" t="str">
        <f>area!D26</f>
        <v>CP_a</v>
      </c>
      <c r="E26" s="7">
        <f>area!E26</f>
        <v>4804.9381755350178</v>
      </c>
      <c r="F26" s="7">
        <f>area!F26</f>
        <v>2838.26224656164</v>
      </c>
      <c r="G26" s="7" t="str">
        <f>area!G26</f>
        <v>normal</v>
      </c>
      <c r="H26" s="7">
        <f>area!H26</f>
        <v>0</v>
      </c>
      <c r="I26" s="7">
        <f>area!I26</f>
        <v>0</v>
      </c>
      <c r="J26" s="7">
        <f>area!J26</f>
        <v>0</v>
      </c>
      <c r="K26" s="7" t="str">
        <f>area!K26</f>
        <v>DF</v>
      </c>
      <c r="L26" s="7" t="str">
        <f>area!L26</f>
        <v>52-Plantations non commercial</v>
      </c>
      <c r="M26" s="7" t="str">
        <f>area!M26</f>
        <v>72-Cropland_annual</v>
      </c>
      <c r="N26" s="7">
        <f>VLOOKUP('CALC E'!B26,time!$A$2:$D$9,2,FALSE)</f>
        <v>2019</v>
      </c>
      <c r="O26" s="7">
        <f>VLOOKUP('CALC E'!B26,time!$A$2:$D$9,3,FALSE)</f>
        <v>2019</v>
      </c>
      <c r="P26" s="7" t="str">
        <f>VLOOKUP('CALC E'!B26,time!$A$2:$D$9,4,FALSE)</f>
        <v>REF</v>
      </c>
      <c r="Q26" s="7">
        <f t="shared" si="0"/>
        <v>1</v>
      </c>
      <c r="R26" s="41">
        <f>ROUND(_xlfn.T.INV.2T(1 - setup!$F$2, 10000)*F26/E26*100,setup!$G$2)</f>
        <v>97.17</v>
      </c>
      <c r="S26" s="23" cm="1">
        <f t="array" ref="S26">_xlfn.XLOOKUP(1, ('CALC EFRF'!$C$2:$C$74='CALC E'!C26)*('CALC EFRF'!$D$2:$D$74='CALC E'!D26),'CALC EFRF'!$I$2:$I$74)</f>
        <v>191.47</v>
      </c>
      <c r="T26" s="25" cm="1">
        <f t="array" ref="T26">_xlfn.XLOOKUP(1, ('CALC EFRF'!$C$2:$C$74='CALC E'!C26)*('CALC EFRF'!$D$2:$D$74='CALC E'!D26),'CALC EFRF'!$J$2:$J$74)</f>
        <v>39.412494342012806</v>
      </c>
      <c r="U26" s="43">
        <f>ROUND(E26*S26,setup!$G$2)</f>
        <v>920001.51</v>
      </c>
      <c r="V26" s="43">
        <f>IF(setup!$E$2,'CALC E'!U26,'CALC E'!U26/'CALC E'!Q26)</f>
        <v>920001.51</v>
      </c>
      <c r="W26" s="42">
        <f>ROUND(SQRT(R26^2+T26^2),setup!$G$2)</f>
        <v>104.86</v>
      </c>
      <c r="X26" s="50">
        <f t="shared" si="1"/>
        <v>9306722979694566</v>
      </c>
    </row>
    <row r="27" spans="1:24" x14ac:dyDescent="0.15">
      <c r="A27" s="7">
        <f>area!A27</f>
        <v>26</v>
      </c>
      <c r="B27" s="7" t="str">
        <f>area!B27</f>
        <v>T4</v>
      </c>
      <c r="C27" s="7" t="str">
        <f>area!C27</f>
        <v>THF</v>
      </c>
      <c r="D27" s="7" t="str">
        <f>area!D27</f>
        <v>FPc</v>
      </c>
      <c r="E27" s="7">
        <f>area!E27</f>
        <v>1847.9485302390999</v>
      </c>
      <c r="F27" s="7">
        <f>area!F27</f>
        <v>1847.9417900258838</v>
      </c>
      <c r="G27" s="7" t="str">
        <f>area!G27</f>
        <v>normal</v>
      </c>
      <c r="H27" s="7">
        <f>area!H27</f>
        <v>0</v>
      </c>
      <c r="I27" s="7">
        <f>area!I27</f>
        <v>0</v>
      </c>
      <c r="J27" s="7">
        <f>area!J27</f>
        <v>0</v>
      </c>
      <c r="K27" s="7" t="str">
        <f>area!K27</f>
        <v>DG</v>
      </c>
      <c r="L27" s="7" t="str">
        <f>area!L27</f>
        <v>10-Tropical High Forest</v>
      </c>
      <c r="M27" s="7" t="str">
        <f>area!M27</f>
        <v>51-Plantations commercial</v>
      </c>
      <c r="N27" s="7">
        <f>VLOOKUP('CALC E'!B27,time!$A$2:$D$9,2,FALSE)</f>
        <v>2020</v>
      </c>
      <c r="O27" s="7">
        <f>VLOOKUP('CALC E'!B27,time!$A$2:$D$9,3,FALSE)</f>
        <v>2020</v>
      </c>
      <c r="P27" s="7" t="str">
        <f>VLOOKUP('CALC E'!B27,time!$A$2:$D$9,4,FALSE)</f>
        <v>REF</v>
      </c>
      <c r="Q27" s="7">
        <f t="shared" si="0"/>
        <v>1</v>
      </c>
      <c r="R27" s="41">
        <f>ROUND(_xlfn.T.INV.2T(1 - setup!$F$2, 10000)*F27/E27*100,setup!$G$2)</f>
        <v>164.5</v>
      </c>
      <c r="S27" s="23" cm="1">
        <f t="array" ref="S27">_xlfn.XLOOKUP(1, ('CALC EFRF'!$C$2:$C$74='CALC E'!C27)*('CALC EFRF'!$D$2:$D$74='CALC E'!D27),'CALC EFRF'!$I$2:$I$74)</f>
        <v>283.20999999999998</v>
      </c>
      <c r="T27" s="25" cm="1">
        <f t="array" ref="T27">_xlfn.XLOOKUP(1, ('CALC EFRF'!$C$2:$C$74='CALC E'!C27)*('CALC EFRF'!$D$2:$D$74='CALC E'!D27),'CALC EFRF'!$J$2:$J$74)</f>
        <v>62.968598071208177</v>
      </c>
      <c r="U27" s="43">
        <f>ROUND(E27*S27,setup!$G$2)</f>
        <v>523357.5</v>
      </c>
      <c r="V27" s="43">
        <f>IF(setup!$E$2,'CALC E'!U27,'CALC E'!U27/'CALC E'!Q27)</f>
        <v>523357.5</v>
      </c>
      <c r="W27" s="42">
        <f>ROUND(SQRT(R27^2+T27^2),setup!$G$2)</f>
        <v>176.14</v>
      </c>
      <c r="X27" s="50">
        <f t="shared" si="1"/>
        <v>8497924895174518</v>
      </c>
    </row>
    <row r="28" spans="1:24" x14ac:dyDescent="0.15">
      <c r="A28" s="7">
        <f>area!A28</f>
        <v>27</v>
      </c>
      <c r="B28" s="7" t="str">
        <f>area!B28</f>
        <v>T4</v>
      </c>
      <c r="C28" s="7" t="str">
        <f>area!C28</f>
        <v>THF</v>
      </c>
      <c r="D28" s="7" t="str">
        <f>area!D28</f>
        <v>CP_a</v>
      </c>
      <c r="E28" s="7">
        <f>area!E28</f>
        <v>1109.0411150568182</v>
      </c>
      <c r="F28" s="7">
        <f>area!F28</f>
        <v>1109.0370699368061</v>
      </c>
      <c r="G28" s="7" t="str">
        <f>area!G28</f>
        <v>normal</v>
      </c>
      <c r="H28" s="7">
        <f>area!H28</f>
        <v>0</v>
      </c>
      <c r="I28" s="7">
        <f>area!I28</f>
        <v>0</v>
      </c>
      <c r="J28" s="7">
        <f>area!J28</f>
        <v>0</v>
      </c>
      <c r="K28" s="7" t="str">
        <f>area!K28</f>
        <v>DF</v>
      </c>
      <c r="L28" s="7" t="str">
        <f>area!L28</f>
        <v>10-Tropical High Forest</v>
      </c>
      <c r="M28" s="7" t="str">
        <f>area!M28</f>
        <v>72-Cropland_annual</v>
      </c>
      <c r="N28" s="7">
        <f>VLOOKUP('CALC E'!B28,time!$A$2:$D$9,2,FALSE)</f>
        <v>2020</v>
      </c>
      <c r="O28" s="7">
        <f>VLOOKUP('CALC E'!B28,time!$A$2:$D$9,3,FALSE)</f>
        <v>2020</v>
      </c>
      <c r="P28" s="7" t="str">
        <f>VLOOKUP('CALC E'!B28,time!$A$2:$D$9,4,FALSE)</f>
        <v>REF</v>
      </c>
      <c r="Q28" s="7">
        <f t="shared" si="0"/>
        <v>1</v>
      </c>
      <c r="R28" s="41">
        <f>ROUND(_xlfn.T.INV.2T(1 - setup!$F$2, 10000)*F28/E28*100,setup!$G$2)</f>
        <v>164.5</v>
      </c>
      <c r="S28" s="23" cm="1">
        <f t="array" ref="S28">_xlfn.XLOOKUP(1, ('CALC EFRF'!$C$2:$C$74='CALC E'!C28)*('CALC EFRF'!$D$2:$D$74='CALC E'!D28),'CALC EFRF'!$I$2:$I$74)</f>
        <v>474.69</v>
      </c>
      <c r="T28" s="25" cm="1">
        <f t="array" ref="T28">_xlfn.XLOOKUP(1, ('CALC EFRF'!$C$2:$C$74='CALC E'!C28)*('CALC EFRF'!$D$2:$D$74='CALC E'!D28),'CALC EFRF'!$J$2:$J$74)</f>
        <v>34.314438879762903</v>
      </c>
      <c r="U28" s="43">
        <f>ROUND(E28*S28,setup!$G$2)</f>
        <v>526450.73</v>
      </c>
      <c r="V28" s="43">
        <f>IF(setup!$E$2,'CALC E'!U28,'CALC E'!U28/'CALC E'!Q28)</f>
        <v>526450.73</v>
      </c>
      <c r="W28" s="42">
        <f>ROUND(SQRT(R28^2+T28^2),setup!$G$2)</f>
        <v>168.04</v>
      </c>
      <c r="X28" s="50">
        <f t="shared" si="1"/>
        <v>7826017418849660</v>
      </c>
    </row>
    <row r="29" spans="1:24" x14ac:dyDescent="0.15">
      <c r="A29" s="7">
        <f>area!A29</f>
        <v>28</v>
      </c>
      <c r="B29" s="7" t="str">
        <f>area!B29</f>
        <v>T4</v>
      </c>
      <c r="C29" s="7" t="str">
        <f>area!C29</f>
        <v>THF</v>
      </c>
      <c r="D29" s="7" t="str">
        <f>area!D29</f>
        <v>GL</v>
      </c>
      <c r="E29" s="7">
        <f>area!E29</f>
        <v>1109.0411150568182</v>
      </c>
      <c r="F29" s="7">
        <f>area!F29</f>
        <v>1109.0370699368061</v>
      </c>
      <c r="G29" s="7" t="str">
        <f>area!G29</f>
        <v>normal</v>
      </c>
      <c r="H29" s="7">
        <f>area!H29</f>
        <v>0</v>
      </c>
      <c r="I29" s="7">
        <f>area!I29</f>
        <v>0</v>
      </c>
      <c r="J29" s="7">
        <f>area!J29</f>
        <v>0</v>
      </c>
      <c r="K29" s="7" t="str">
        <f>area!K29</f>
        <v>DF</v>
      </c>
      <c r="L29" s="7" t="str">
        <f>area!L29</f>
        <v>10-Tropical High Forest</v>
      </c>
      <c r="M29" s="7" t="str">
        <f>area!M29</f>
        <v>80-Grassland</v>
      </c>
      <c r="N29" s="7">
        <f>VLOOKUP('CALC E'!B29,time!$A$2:$D$9,2,FALSE)</f>
        <v>2020</v>
      </c>
      <c r="O29" s="7">
        <f>VLOOKUP('CALC E'!B29,time!$A$2:$D$9,3,FALSE)</f>
        <v>2020</v>
      </c>
      <c r="P29" s="7" t="str">
        <f>VLOOKUP('CALC E'!B29,time!$A$2:$D$9,4,FALSE)</f>
        <v>REF</v>
      </c>
      <c r="Q29" s="7">
        <f t="shared" si="0"/>
        <v>1</v>
      </c>
      <c r="R29" s="41">
        <f>ROUND(_xlfn.T.INV.2T(1 - setup!$F$2, 10000)*F29/E29*100,setup!$G$2)</f>
        <v>164.5</v>
      </c>
      <c r="S29" s="23" cm="1">
        <f t="array" ref="S29">_xlfn.XLOOKUP(1, ('CALC EFRF'!$C$2:$C$74='CALC E'!C29)*('CALC EFRF'!$D$2:$D$74='CALC E'!D29),'CALC EFRF'!$I$2:$I$74)</f>
        <v>462.07</v>
      </c>
      <c r="T29" s="25" cm="1">
        <f t="array" ref="T29">_xlfn.XLOOKUP(1, ('CALC EFRF'!$C$2:$C$74='CALC E'!C29)*('CALC EFRF'!$D$2:$D$74='CALC E'!D29),'CALC EFRF'!$J$2:$J$74)</f>
        <v>35.333561644007922</v>
      </c>
      <c r="U29" s="43">
        <f>ROUND(E29*S29,setup!$G$2)</f>
        <v>512454.63</v>
      </c>
      <c r="V29" s="43">
        <f>IF(setup!$E$2,'CALC E'!U29,'CALC E'!U29/'CALC E'!Q29)</f>
        <v>512454.63</v>
      </c>
      <c r="W29" s="42">
        <f>ROUND(SQRT(R29^2+T29^2),setup!$G$2)</f>
        <v>168.25</v>
      </c>
      <c r="X29" s="50">
        <f t="shared" si="1"/>
        <v>7433973154070470</v>
      </c>
    </row>
    <row r="30" spans="1:24" x14ac:dyDescent="0.15">
      <c r="A30" s="7">
        <f>area!A30</f>
        <v>29</v>
      </c>
      <c r="B30" s="7" t="str">
        <f>area!B30</f>
        <v>T4</v>
      </c>
      <c r="C30" s="7" t="str">
        <f>area!C30</f>
        <v>WD</v>
      </c>
      <c r="D30" s="7" t="str">
        <f>area!D30</f>
        <v>CP_p</v>
      </c>
      <c r="E30" s="7">
        <f>area!E30</f>
        <v>10128.788897268085</v>
      </c>
      <c r="F30" s="7">
        <f>area!F30</f>
        <v>4407.3924913735846</v>
      </c>
      <c r="G30" s="7" t="str">
        <f>area!G30</f>
        <v>normal</v>
      </c>
      <c r="H30" s="7">
        <f>area!H30</f>
        <v>0</v>
      </c>
      <c r="I30" s="7">
        <f>area!I30</f>
        <v>0</v>
      </c>
      <c r="J30" s="7">
        <f>area!J30</f>
        <v>0</v>
      </c>
      <c r="K30" s="7" t="str">
        <f>area!K30</f>
        <v>DF</v>
      </c>
      <c r="L30" s="7" t="str">
        <f>area!L30</f>
        <v>30-Woodlands</v>
      </c>
      <c r="M30" s="7" t="str">
        <f>area!M30</f>
        <v>71-Cropland_perennial</v>
      </c>
      <c r="N30" s="7">
        <f>VLOOKUP('CALC E'!B30,time!$A$2:$D$9,2,FALSE)</f>
        <v>2020</v>
      </c>
      <c r="O30" s="7">
        <f>VLOOKUP('CALC E'!B30,time!$A$2:$D$9,3,FALSE)</f>
        <v>2020</v>
      </c>
      <c r="P30" s="7" t="str">
        <f>VLOOKUP('CALC E'!B30,time!$A$2:$D$9,4,FALSE)</f>
        <v>REF</v>
      </c>
      <c r="Q30" s="7">
        <f t="shared" si="0"/>
        <v>1</v>
      </c>
      <c r="R30" s="41">
        <f>ROUND(_xlfn.T.INV.2T(1 - setup!$F$2, 10000)*F30/E30*100,setup!$G$2)</f>
        <v>71.58</v>
      </c>
      <c r="S30" s="23" cm="1">
        <f t="array" ref="S30">_xlfn.XLOOKUP(1, ('CALC EFRF'!$C$2:$C$74='CALC E'!C30)*('CALC EFRF'!$D$2:$D$74='CALC E'!D30),'CALC EFRF'!$I$2:$I$74)</f>
        <v>28.31</v>
      </c>
      <c r="T30" s="25" cm="1">
        <f t="array" ref="T30">_xlfn.XLOOKUP(1, ('CALC EFRF'!$C$2:$C$74='CALC E'!C30)*('CALC EFRF'!$D$2:$D$74='CALC E'!D30),'CALC EFRF'!$J$2:$J$74)</f>
        <v>91.474742071213043</v>
      </c>
      <c r="U30" s="43">
        <f>ROUND(E30*S30,setup!$G$2)</f>
        <v>286746.01</v>
      </c>
      <c r="V30" s="43">
        <f>IF(setup!$E$2,'CALC E'!U30,'CALC E'!U30/'CALC E'!Q30)</f>
        <v>286746.01</v>
      </c>
      <c r="W30" s="42">
        <f>ROUND(SQRT(R30^2+T30^2),setup!$G$2)</f>
        <v>116.15</v>
      </c>
      <c r="X30" s="50">
        <f t="shared" si="1"/>
        <v>1109259598287983.6</v>
      </c>
    </row>
    <row r="31" spans="1:24" x14ac:dyDescent="0.15">
      <c r="A31" s="7">
        <f>area!A31</f>
        <v>30</v>
      </c>
      <c r="B31" s="7" t="str">
        <f>area!B31</f>
        <v>T4</v>
      </c>
      <c r="C31" s="7" t="str">
        <f>area!C31</f>
        <v>WD</v>
      </c>
      <c r="D31" s="7" t="str">
        <f>area!D31</f>
        <v>CP_a</v>
      </c>
      <c r="E31" s="7">
        <f>area!E31</f>
        <v>15565.155631273446</v>
      </c>
      <c r="F31" s="7">
        <f>area!F31</f>
        <v>6279.9733207515274</v>
      </c>
      <c r="G31" s="7" t="str">
        <f>area!G31</f>
        <v>normal</v>
      </c>
      <c r="H31" s="7">
        <f>area!H31</f>
        <v>0</v>
      </c>
      <c r="I31" s="7">
        <f>area!I31</f>
        <v>0</v>
      </c>
      <c r="J31" s="7">
        <f>area!J31</f>
        <v>0</v>
      </c>
      <c r="K31" s="7" t="str">
        <f>area!K31</f>
        <v>DF</v>
      </c>
      <c r="L31" s="7" t="str">
        <f>area!L31</f>
        <v>30-Woodlands</v>
      </c>
      <c r="M31" s="7" t="str">
        <f>area!M31</f>
        <v>72-Cropland_annual</v>
      </c>
      <c r="N31" s="7">
        <f>VLOOKUP('CALC E'!B31,time!$A$2:$D$9,2,FALSE)</f>
        <v>2020</v>
      </c>
      <c r="O31" s="7">
        <f>VLOOKUP('CALC E'!B31,time!$A$2:$D$9,3,FALSE)</f>
        <v>2020</v>
      </c>
      <c r="P31" s="7" t="str">
        <f>VLOOKUP('CALC E'!B31,time!$A$2:$D$9,4,FALSE)</f>
        <v>REF</v>
      </c>
      <c r="Q31" s="7">
        <f t="shared" si="0"/>
        <v>1</v>
      </c>
      <c r="R31" s="41">
        <f>ROUND(_xlfn.T.INV.2T(1 - setup!$F$2, 10000)*F31/E31*100,setup!$G$2)</f>
        <v>66.37</v>
      </c>
      <c r="S31" s="23" cm="1">
        <f t="array" ref="S31">_xlfn.XLOOKUP(1, ('CALC EFRF'!$C$2:$C$74='CALC E'!C31)*('CALC EFRF'!$D$2:$D$74='CALC E'!D31),'CALC EFRF'!$I$2:$I$74)</f>
        <v>23.61</v>
      </c>
      <c r="T31" s="25" cm="1">
        <f t="array" ref="T31">_xlfn.XLOOKUP(1, ('CALC EFRF'!$C$2:$C$74='CALC E'!C31)*('CALC EFRF'!$D$2:$D$74='CALC E'!D31),'CALC EFRF'!$J$2:$J$74)</f>
        <v>123.39708232306727</v>
      </c>
      <c r="U31" s="43">
        <f>ROUND(E31*S31,setup!$G$2)</f>
        <v>367493.32</v>
      </c>
      <c r="V31" s="43">
        <f>IF(setup!$E$2,'CALC E'!U31,'CALC E'!U31/'CALC E'!Q31)</f>
        <v>367493.32</v>
      </c>
      <c r="W31" s="42">
        <f>ROUND(SQRT(R31^2+T31^2),setup!$G$2)</f>
        <v>140.11000000000001</v>
      </c>
      <c r="X31" s="50">
        <f t="shared" si="1"/>
        <v>2651167484195351</v>
      </c>
    </row>
    <row r="32" spans="1:24" x14ac:dyDescent="0.15">
      <c r="A32" s="7">
        <f>area!A32</f>
        <v>31</v>
      </c>
      <c r="B32" s="7" t="str">
        <f>area!B32</f>
        <v>T4</v>
      </c>
      <c r="C32" s="7" t="str">
        <f>area!C32</f>
        <v>WD</v>
      </c>
      <c r="D32" s="7" t="str">
        <f>area!D32</f>
        <v>GL</v>
      </c>
      <c r="E32" s="7">
        <f>area!E32</f>
        <v>20471.214110610876</v>
      </c>
      <c r="F32" s="7">
        <f>area!F32</f>
        <v>6708.8092852125292</v>
      </c>
      <c r="G32" s="7" t="str">
        <f>area!G32</f>
        <v>normal</v>
      </c>
      <c r="H32" s="7">
        <f>area!H32</f>
        <v>0</v>
      </c>
      <c r="I32" s="7">
        <f>area!I32</f>
        <v>0</v>
      </c>
      <c r="J32" s="7">
        <f>area!J32</f>
        <v>0</v>
      </c>
      <c r="K32" s="7" t="str">
        <f>area!K32</f>
        <v>DF</v>
      </c>
      <c r="L32" s="7" t="str">
        <f>area!L32</f>
        <v>30-Woodlands</v>
      </c>
      <c r="M32" s="7" t="str">
        <f>area!M32</f>
        <v>80-Grassland</v>
      </c>
      <c r="N32" s="7">
        <f>VLOOKUP('CALC E'!B32,time!$A$2:$D$9,2,FALSE)</f>
        <v>2020</v>
      </c>
      <c r="O32" s="7">
        <f>VLOOKUP('CALC E'!B32,time!$A$2:$D$9,3,FALSE)</f>
        <v>2020</v>
      </c>
      <c r="P32" s="7" t="str">
        <f>VLOOKUP('CALC E'!B32,time!$A$2:$D$9,4,FALSE)</f>
        <v>REF</v>
      </c>
      <c r="Q32" s="7">
        <f t="shared" si="0"/>
        <v>1</v>
      </c>
      <c r="R32" s="41">
        <f>ROUND(_xlfn.T.INV.2T(1 - setup!$F$2, 10000)*F32/E32*100,setup!$G$2)</f>
        <v>53.91</v>
      </c>
      <c r="S32" s="23" cm="1">
        <f t="array" ref="S32">_xlfn.XLOOKUP(1, ('CALC EFRF'!$C$2:$C$74='CALC E'!C32)*('CALC EFRF'!$D$2:$D$74='CALC E'!D32),'CALC EFRF'!$I$2:$I$74)</f>
        <v>11</v>
      </c>
      <c r="T32" s="25" cm="1">
        <f t="array" ref="T32">_xlfn.XLOOKUP(1, ('CALC EFRF'!$C$2:$C$74='CALC E'!C32)*('CALC EFRF'!$D$2:$D$74='CALC E'!D32),'CALC EFRF'!$J$2:$J$74)</f>
        <v>283.61076563087113</v>
      </c>
      <c r="U32" s="43">
        <f>ROUND(E32*S32,setup!$G$2)</f>
        <v>225183.35999999999</v>
      </c>
      <c r="V32" s="43">
        <f>IF(setup!$E$2,'CALC E'!U32,'CALC E'!U32/'CALC E'!Q32)</f>
        <v>225183.35999999999</v>
      </c>
      <c r="W32" s="42">
        <f>ROUND(SQRT(R32^2+T32^2),setup!$G$2)</f>
        <v>288.69</v>
      </c>
      <c r="X32" s="50">
        <f t="shared" si="1"/>
        <v>4226064012773103</v>
      </c>
    </row>
    <row r="33" spans="1:24" x14ac:dyDescent="0.15">
      <c r="A33" s="7">
        <f>area!A33</f>
        <v>32</v>
      </c>
      <c r="B33" s="7" t="str">
        <f>area!B33</f>
        <v>T4</v>
      </c>
      <c r="C33" s="7" t="str">
        <f>area!C33</f>
        <v>WD_fire</v>
      </c>
      <c r="D33" s="7" t="str">
        <f>area!D33</f>
        <v>WD_fire_deg</v>
      </c>
      <c r="E33" s="7">
        <f>area!E33</f>
        <v>2995.4016390978768</v>
      </c>
      <c r="F33" s="7">
        <f>area!F33</f>
        <v>2188.1829912498301</v>
      </c>
      <c r="G33" s="7" t="str">
        <f>area!G33</f>
        <v>normal</v>
      </c>
      <c r="H33" s="7">
        <f>area!H33</f>
        <v>0</v>
      </c>
      <c r="I33" s="7">
        <f>area!I33</f>
        <v>0</v>
      </c>
      <c r="J33" s="7">
        <f>area!J33</f>
        <v>0</v>
      </c>
      <c r="K33" s="7" t="str">
        <f>area!K33</f>
        <v>DG</v>
      </c>
      <c r="L33" s="7" t="str">
        <f>area!L33</f>
        <v>31-Woodlands</v>
      </c>
      <c r="M33" s="7" t="str">
        <f>area!M33</f>
        <v>41-Woodlands_Degraded_by_fire</v>
      </c>
      <c r="N33" s="7">
        <f>VLOOKUP('CALC E'!B33,time!$A$2:$D$9,2,FALSE)</f>
        <v>2020</v>
      </c>
      <c r="O33" s="7">
        <f>VLOOKUP('CALC E'!B33,time!$A$2:$D$9,3,FALSE)</f>
        <v>2020</v>
      </c>
      <c r="P33" s="7" t="str">
        <f>VLOOKUP('CALC E'!B33,time!$A$2:$D$9,4,FALSE)</f>
        <v>REF</v>
      </c>
      <c r="Q33" s="7">
        <f t="shared" si="0"/>
        <v>1</v>
      </c>
      <c r="R33" s="41">
        <f>ROUND(_xlfn.T.INV.2T(1 - setup!$F$2, 10000)*F33/E33*100,setup!$G$2)</f>
        <v>120.17</v>
      </c>
      <c r="S33" s="23" cm="1">
        <f t="array" ref="S33">_xlfn.XLOOKUP(1, ('CALC EFRF'!$C$2:$C$74='CALC E'!C33)*('CALC EFRF'!$D$2:$D$74='CALC E'!D33),'CALC EFRF'!$I$2:$I$74)</f>
        <v>12.14</v>
      </c>
      <c r="T33" s="25" cm="1">
        <f t="array" ref="T33">_xlfn.XLOOKUP(1, ('CALC EFRF'!$C$2:$C$74='CALC E'!C33)*('CALC EFRF'!$D$2:$D$74='CALC E'!D33),'CALC EFRF'!$J$2:$J$74)</f>
        <v>265.33966972860395</v>
      </c>
      <c r="U33" s="43">
        <f>ROUND(E33*S33,setup!$G$2)</f>
        <v>36364.18</v>
      </c>
      <c r="V33" s="43">
        <f>IF(setup!$E$2,'CALC E'!U33,'CALC E'!U33/'CALC E'!Q33)</f>
        <v>36364.18</v>
      </c>
      <c r="W33" s="42">
        <f>ROUND(SQRT(R33^2+T33^2),setup!$G$2)</f>
        <v>291.27999999999997</v>
      </c>
      <c r="X33" s="50">
        <f t="shared" si="1"/>
        <v>112193818519948.42</v>
      </c>
    </row>
    <row r="34" spans="1:24" x14ac:dyDescent="0.15">
      <c r="A34" s="7">
        <f>area!A34</f>
        <v>33</v>
      </c>
      <c r="B34" s="7" t="str">
        <f>area!B34</f>
        <v>T4</v>
      </c>
      <c r="C34" s="7" t="str">
        <f>area!C34</f>
        <v>WD_log</v>
      </c>
      <c r="D34" s="7" t="str">
        <f>area!D34</f>
        <v>WD_log_deg</v>
      </c>
      <c r="E34" s="7">
        <f>area!E34</f>
        <v>2995.4016390978768</v>
      </c>
      <c r="F34" s="7">
        <f>area!F34</f>
        <v>2188.1829912498301</v>
      </c>
      <c r="G34" s="7" t="str">
        <f>area!G34</f>
        <v>normal</v>
      </c>
      <c r="H34" s="7">
        <f>area!H34</f>
        <v>0</v>
      </c>
      <c r="I34" s="7">
        <f>area!I34</f>
        <v>0</v>
      </c>
      <c r="J34" s="7">
        <f>area!J34</f>
        <v>0</v>
      </c>
      <c r="K34" s="7" t="str">
        <f>area!K34</f>
        <v>DG</v>
      </c>
      <c r="L34" s="7" t="str">
        <f>area!L34</f>
        <v>32-Woodlands</v>
      </c>
      <c r="M34" s="7" t="str">
        <f>area!M34</f>
        <v>42-Woodlands_Degraded_by_logging</v>
      </c>
      <c r="N34" s="7">
        <f>VLOOKUP('CALC E'!B34,time!$A$2:$D$9,2,FALSE)</f>
        <v>2020</v>
      </c>
      <c r="O34" s="7">
        <f>VLOOKUP('CALC E'!B34,time!$A$2:$D$9,3,FALSE)</f>
        <v>2020</v>
      </c>
      <c r="P34" s="7" t="str">
        <f>VLOOKUP('CALC E'!B34,time!$A$2:$D$9,4,FALSE)</f>
        <v>REF</v>
      </c>
      <c r="Q34" s="7">
        <f t="shared" si="0"/>
        <v>1</v>
      </c>
      <c r="R34" s="41">
        <f>ROUND(_xlfn.T.INV.2T(1 - setup!$F$2, 10000)*F34/E34*100,setup!$G$2)</f>
        <v>120.17</v>
      </c>
      <c r="S34" s="23" cm="1">
        <f t="array" ref="S34">_xlfn.XLOOKUP(1, ('CALC EFRF'!$C$2:$C$74='CALC E'!C34)*('CALC EFRF'!$D$2:$D$74='CALC E'!D34),'CALC EFRF'!$I$2:$I$74)</f>
        <v>4.4000000000000004</v>
      </c>
      <c r="T34" s="25" cm="1">
        <f t="array" ref="T34">_xlfn.XLOOKUP(1, ('CALC EFRF'!$C$2:$C$74='CALC E'!C34)*('CALC EFRF'!$D$2:$D$74='CALC E'!D34),'CALC EFRF'!$J$2:$J$74)</f>
        <v>780.42477636742024</v>
      </c>
      <c r="U34" s="43">
        <f>ROUND(E34*S34,setup!$G$2)</f>
        <v>13179.77</v>
      </c>
      <c r="V34" s="43">
        <f>IF(setup!$E$2,'CALC E'!U34,'CALC E'!U34/'CALC E'!Q34)</f>
        <v>13179.77</v>
      </c>
      <c r="W34" s="42">
        <f>ROUND(SQRT(R34^2+T34^2),setup!$G$2)</f>
        <v>789.62</v>
      </c>
      <c r="X34" s="50">
        <f t="shared" si="1"/>
        <v>108305856877843.38</v>
      </c>
    </row>
    <row r="35" spans="1:24" x14ac:dyDescent="0.15">
      <c r="A35" s="7">
        <f>area!A35</f>
        <v>34</v>
      </c>
      <c r="B35" s="7" t="str">
        <f>area!B35</f>
        <v>T4</v>
      </c>
      <c r="C35" s="7" t="str">
        <f>area!C35</f>
        <v>FPc</v>
      </c>
      <c r="D35" s="7" t="str">
        <f>area!D35</f>
        <v>CP_a</v>
      </c>
      <c r="E35" s="7">
        <f>area!E35</f>
        <v>1109.0411150568182</v>
      </c>
      <c r="F35" s="7">
        <f>area!F35</f>
        <v>1109.0370699368061</v>
      </c>
      <c r="G35" s="7" t="str">
        <f>area!G35</f>
        <v>normal</v>
      </c>
      <c r="H35" s="7">
        <f>area!H35</f>
        <v>0</v>
      </c>
      <c r="I35" s="7">
        <f>area!I35</f>
        <v>0</v>
      </c>
      <c r="J35" s="7">
        <f>area!J35</f>
        <v>0</v>
      </c>
      <c r="K35" s="7" t="str">
        <f>area!K35</f>
        <v>DF</v>
      </c>
      <c r="L35" s="7" t="str">
        <f>area!L35</f>
        <v>51-Plantations commercial</v>
      </c>
      <c r="M35" s="7" t="str">
        <f>area!M35</f>
        <v>72-Cropland_annual</v>
      </c>
      <c r="N35" s="7">
        <f>VLOOKUP('CALC E'!B35,time!$A$2:$D$9,2,FALSE)</f>
        <v>2020</v>
      </c>
      <c r="O35" s="7">
        <f>VLOOKUP('CALC E'!B35,time!$A$2:$D$9,3,FALSE)</f>
        <v>2020</v>
      </c>
      <c r="P35" s="7" t="str">
        <f>VLOOKUP('CALC E'!B35,time!$A$2:$D$9,4,FALSE)</f>
        <v>REF</v>
      </c>
      <c r="Q35" s="7">
        <f t="shared" si="0"/>
        <v>1</v>
      </c>
      <c r="R35" s="41">
        <f>ROUND(_xlfn.T.INV.2T(1 - setup!$F$2, 10000)*F35/E35*100,setup!$G$2)</f>
        <v>164.5</v>
      </c>
      <c r="S35" s="23" cm="1">
        <f t="array" ref="S35">_xlfn.XLOOKUP(1, ('CALC EFRF'!$C$2:$C$74='CALC E'!C35)*('CALC EFRF'!$D$2:$D$74='CALC E'!D35),'CALC EFRF'!$I$2:$I$74)</f>
        <v>191.47</v>
      </c>
      <c r="T35" s="25" cm="1">
        <f t="array" ref="T35">_xlfn.XLOOKUP(1, ('CALC EFRF'!$C$2:$C$74='CALC E'!C35)*('CALC EFRF'!$D$2:$D$74='CALC E'!D35),'CALC EFRF'!$J$2:$J$74)</f>
        <v>39.412494342012806</v>
      </c>
      <c r="U35" s="43">
        <f>ROUND(E35*S35,setup!$G$2)</f>
        <v>212348.1</v>
      </c>
      <c r="V35" s="43">
        <f>IF(setup!$E$2,'CALC E'!U35,'CALC E'!U35/'CALC E'!Q35)</f>
        <v>212348.1</v>
      </c>
      <c r="W35" s="42">
        <f>ROUND(SQRT(R35^2+T35^2),setup!$G$2)</f>
        <v>169.16</v>
      </c>
      <c r="X35" s="50">
        <f t="shared" si="1"/>
        <v>1290304202824014.8</v>
      </c>
    </row>
    <row r="36" spans="1:24" x14ac:dyDescent="0.15">
      <c r="A36" s="7">
        <f>area!A36</f>
        <v>35</v>
      </c>
      <c r="B36" s="7" t="str">
        <f>area!B36</f>
        <v>T4</v>
      </c>
      <c r="C36" s="7" t="str">
        <f>area!C36</f>
        <v>FPnc</v>
      </c>
      <c r="D36" s="7" t="str">
        <f>area!D36</f>
        <v>CP_a</v>
      </c>
      <c r="E36" s="7">
        <f>area!E36</f>
        <v>4066.0307603527363</v>
      </c>
      <c r="F36" s="7">
        <f>area!F36</f>
        <v>2423.5432335966298</v>
      </c>
      <c r="G36" s="7" t="str">
        <f>area!G36</f>
        <v>normal</v>
      </c>
      <c r="H36" s="7">
        <f>area!H36</f>
        <v>0</v>
      </c>
      <c r="I36" s="7">
        <f>area!I36</f>
        <v>0</v>
      </c>
      <c r="J36" s="7">
        <f>area!J36</f>
        <v>0</v>
      </c>
      <c r="K36" s="7" t="str">
        <f>area!K36</f>
        <v>DF</v>
      </c>
      <c r="L36" s="7" t="str">
        <f>area!L36</f>
        <v>52-Plantations non commercial</v>
      </c>
      <c r="M36" s="7" t="str">
        <f>area!M36</f>
        <v>72-Cropland_annual</v>
      </c>
      <c r="N36" s="7">
        <f>VLOOKUP('CALC E'!B36,time!$A$2:$D$9,2,FALSE)</f>
        <v>2020</v>
      </c>
      <c r="O36" s="7">
        <f>VLOOKUP('CALC E'!B36,time!$A$2:$D$9,3,FALSE)</f>
        <v>2020</v>
      </c>
      <c r="P36" s="7" t="str">
        <f>VLOOKUP('CALC E'!B36,time!$A$2:$D$9,4,FALSE)</f>
        <v>REF</v>
      </c>
      <c r="Q36" s="7">
        <f t="shared" si="0"/>
        <v>1</v>
      </c>
      <c r="R36" s="41">
        <f>ROUND(_xlfn.T.INV.2T(1 - setup!$F$2, 10000)*F36/E36*100,setup!$G$2)</f>
        <v>98.05</v>
      </c>
      <c r="S36" s="23" cm="1">
        <f t="array" ref="S36">_xlfn.XLOOKUP(1, ('CALC EFRF'!$C$2:$C$74='CALC E'!C36)*('CALC EFRF'!$D$2:$D$74='CALC E'!D36),'CALC EFRF'!$I$2:$I$74)</f>
        <v>191.47</v>
      </c>
      <c r="T36" s="25" cm="1">
        <f t="array" ref="T36">_xlfn.XLOOKUP(1, ('CALC EFRF'!$C$2:$C$74='CALC E'!C36)*('CALC EFRF'!$D$2:$D$74='CALC E'!D36),'CALC EFRF'!$J$2:$J$74)</f>
        <v>39.412494342012806</v>
      </c>
      <c r="U36" s="43">
        <f>ROUND(E36*S36,setup!$G$2)</f>
        <v>778522.91</v>
      </c>
      <c r="V36" s="43">
        <f>IF(setup!$E$2,'CALC E'!U36,'CALC E'!U36/'CALC E'!Q36)</f>
        <v>778522.91</v>
      </c>
      <c r="W36" s="42">
        <f>ROUND(SQRT(R36^2+T36^2),setup!$G$2)</f>
        <v>105.67</v>
      </c>
      <c r="X36" s="50">
        <f t="shared" si="1"/>
        <v>6767779638275593</v>
      </c>
    </row>
    <row r="37" spans="1:24" x14ac:dyDescent="0.15">
      <c r="A37" s="7">
        <f>area!A37</f>
        <v>36</v>
      </c>
      <c r="B37" s="7" t="str">
        <f>area!B37</f>
        <v>T5</v>
      </c>
      <c r="C37" s="7" t="str">
        <f>area!C37</f>
        <v>THF</v>
      </c>
      <c r="D37" s="7" t="str">
        <f>area!D37</f>
        <v>CP_p</v>
      </c>
      <c r="E37" s="7">
        <f>area!E37</f>
        <v>1109.0411150568182</v>
      </c>
      <c r="F37" s="7">
        <f>area!F37</f>
        <v>1109.0370699368061</v>
      </c>
      <c r="G37" s="7" t="str">
        <f>area!G37</f>
        <v>normal</v>
      </c>
      <c r="H37" s="7">
        <f>area!H37</f>
        <v>0</v>
      </c>
      <c r="I37" s="7">
        <f>area!I37</f>
        <v>0</v>
      </c>
      <c r="J37" s="7">
        <f>area!J37</f>
        <v>0</v>
      </c>
      <c r="K37" s="7" t="str">
        <f>area!K37</f>
        <v>DF</v>
      </c>
      <c r="L37" s="7" t="str">
        <f>area!L37</f>
        <v>10-Tropical High Forest</v>
      </c>
      <c r="M37" s="7" t="str">
        <f>area!M37</f>
        <v>71-Cropland_perennial</v>
      </c>
      <c r="N37" s="7">
        <f>VLOOKUP('CALC E'!B37,time!$A$2:$D$9,2,FALSE)</f>
        <v>2021</v>
      </c>
      <c r="O37" s="7">
        <f>VLOOKUP('CALC E'!B37,time!$A$2:$D$9,3,FALSE)</f>
        <v>2021</v>
      </c>
      <c r="P37" s="7" t="str">
        <f>VLOOKUP('CALC E'!B37,time!$A$2:$D$9,4,FALSE)</f>
        <v>REF</v>
      </c>
      <c r="Q37" s="7">
        <f t="shared" si="0"/>
        <v>1</v>
      </c>
      <c r="R37" s="41">
        <f>ROUND(_xlfn.T.INV.2T(1 - setup!$F$2, 10000)*F37/E37*100,setup!$G$2)</f>
        <v>164.5</v>
      </c>
      <c r="S37" s="23" cm="1">
        <f t="array" ref="S37">_xlfn.XLOOKUP(1, ('CALC EFRF'!$C$2:$C$74='CALC E'!C37)*('CALC EFRF'!$D$2:$D$74='CALC E'!D37),'CALC EFRF'!$I$2:$I$74)</f>
        <v>479.38</v>
      </c>
      <c r="T37" s="25" cm="1">
        <f t="array" ref="T37">_xlfn.XLOOKUP(1, ('CALC EFRF'!$C$2:$C$74='CALC E'!C37)*('CALC EFRF'!$D$2:$D$74='CALC E'!D37),'CALC EFRF'!$J$2:$J$74)</f>
        <v>33.86395383490369</v>
      </c>
      <c r="U37" s="43">
        <f>ROUND(E37*S37,setup!$G$2)</f>
        <v>531652.13</v>
      </c>
      <c r="V37" s="43">
        <f>IF(setup!$E$2,'CALC E'!U37,'CALC E'!U37/'CALC E'!Q37)</f>
        <v>531652.13</v>
      </c>
      <c r="W37" s="42">
        <f>ROUND(SQRT(R37^2+T37^2),setup!$G$2)</f>
        <v>167.95</v>
      </c>
      <c r="X37" s="50">
        <f t="shared" si="1"/>
        <v>7972878258149508</v>
      </c>
    </row>
    <row r="38" spans="1:24" x14ac:dyDescent="0.15">
      <c r="A38" s="7">
        <f>area!A38</f>
        <v>37</v>
      </c>
      <c r="B38" s="7" t="str">
        <f>area!B38</f>
        <v>T5</v>
      </c>
      <c r="C38" s="7" t="str">
        <f>area!C38</f>
        <v>THF</v>
      </c>
      <c r="D38" s="7" t="str">
        <f>area!D38</f>
        <v>CP_a</v>
      </c>
      <c r="E38" s="7">
        <f>area!E38</f>
        <v>4804.9381755350178</v>
      </c>
      <c r="F38" s="7">
        <f>area!F38</f>
        <v>2838.26224656164</v>
      </c>
      <c r="G38" s="7" t="str">
        <f>area!G38</f>
        <v>normal</v>
      </c>
      <c r="H38" s="7">
        <f>area!H38</f>
        <v>0</v>
      </c>
      <c r="I38" s="7">
        <f>area!I38</f>
        <v>0</v>
      </c>
      <c r="J38" s="7">
        <f>area!J38</f>
        <v>0</v>
      </c>
      <c r="K38" s="7" t="str">
        <f>area!K38</f>
        <v>DF</v>
      </c>
      <c r="L38" s="7" t="str">
        <f>area!L38</f>
        <v>10-Tropical High Forest</v>
      </c>
      <c r="M38" s="7" t="str">
        <f>area!M38</f>
        <v>72-Cropland_annual</v>
      </c>
      <c r="N38" s="7">
        <f>VLOOKUP('CALC E'!B38,time!$A$2:$D$9,2,FALSE)</f>
        <v>2021</v>
      </c>
      <c r="O38" s="7">
        <f>VLOOKUP('CALC E'!B38,time!$A$2:$D$9,3,FALSE)</f>
        <v>2021</v>
      </c>
      <c r="P38" s="7" t="str">
        <f>VLOOKUP('CALC E'!B38,time!$A$2:$D$9,4,FALSE)</f>
        <v>REF</v>
      </c>
      <c r="Q38" s="7">
        <f t="shared" si="0"/>
        <v>1</v>
      </c>
      <c r="R38" s="41">
        <f>ROUND(_xlfn.T.INV.2T(1 - setup!$F$2, 10000)*F38/E38*100,setup!$G$2)</f>
        <v>97.17</v>
      </c>
      <c r="S38" s="23" cm="1">
        <f t="array" ref="S38">_xlfn.XLOOKUP(1, ('CALC EFRF'!$C$2:$C$74='CALC E'!C38)*('CALC EFRF'!$D$2:$D$74='CALC E'!D38),'CALC EFRF'!$I$2:$I$74)</f>
        <v>474.69</v>
      </c>
      <c r="T38" s="25" cm="1">
        <f t="array" ref="T38">_xlfn.XLOOKUP(1, ('CALC EFRF'!$C$2:$C$74='CALC E'!C38)*('CALC EFRF'!$D$2:$D$74='CALC E'!D38),'CALC EFRF'!$J$2:$J$74)</f>
        <v>34.314438879762903</v>
      </c>
      <c r="U38" s="43">
        <f>ROUND(E38*S38,setup!$G$2)</f>
        <v>2280856.1</v>
      </c>
      <c r="V38" s="43">
        <f>IF(setup!$E$2,'CALC E'!U38,'CALC E'!U38/'CALC E'!Q38)</f>
        <v>2280856.1</v>
      </c>
      <c r="W38" s="42">
        <f>ROUND(SQRT(R38^2+T38^2),setup!$G$2)</f>
        <v>103.05</v>
      </c>
      <c r="X38" s="50">
        <f t="shared" si="1"/>
        <v>5.5244845701971704E+16</v>
      </c>
    </row>
    <row r="39" spans="1:24" x14ac:dyDescent="0.15">
      <c r="A39" s="7">
        <f>area!A39</f>
        <v>38</v>
      </c>
      <c r="B39" s="7" t="str">
        <f>area!B39</f>
        <v>T5</v>
      </c>
      <c r="C39" s="7" t="str">
        <f>area!C39</f>
        <v>WD</v>
      </c>
      <c r="D39" s="7" t="str">
        <f>area!D39</f>
        <v>CP_a</v>
      </c>
      <c r="E39" s="7">
        <f>area!E39</f>
        <v>27452.580016869855</v>
      </c>
      <c r="F39" s="7">
        <f>area!F39</f>
        <v>6732.1157362376198</v>
      </c>
      <c r="G39" s="7" t="str">
        <f>area!G39</f>
        <v>normal</v>
      </c>
      <c r="H39" s="7">
        <f>area!H39</f>
        <v>0</v>
      </c>
      <c r="I39" s="7">
        <f>area!I39</f>
        <v>0</v>
      </c>
      <c r="J39" s="7">
        <f>area!J39</f>
        <v>0</v>
      </c>
      <c r="K39" s="7" t="str">
        <f>area!K39</f>
        <v>DF</v>
      </c>
      <c r="L39" s="7" t="str">
        <f>area!L39</f>
        <v>30-Woodlands</v>
      </c>
      <c r="M39" s="7" t="str">
        <f>area!M39</f>
        <v>72-Cropland_annual</v>
      </c>
      <c r="N39" s="7">
        <f>VLOOKUP('CALC E'!B39,time!$A$2:$D$9,2,FALSE)</f>
        <v>2021</v>
      </c>
      <c r="O39" s="7">
        <f>VLOOKUP('CALC E'!B39,time!$A$2:$D$9,3,FALSE)</f>
        <v>2021</v>
      </c>
      <c r="P39" s="7" t="str">
        <f>VLOOKUP('CALC E'!B39,time!$A$2:$D$9,4,FALSE)</f>
        <v>REF</v>
      </c>
      <c r="Q39" s="7">
        <f t="shared" si="0"/>
        <v>1</v>
      </c>
      <c r="R39" s="41">
        <f>ROUND(_xlfn.T.INV.2T(1 - setup!$F$2, 10000)*F39/E39*100,setup!$G$2)</f>
        <v>40.340000000000003</v>
      </c>
      <c r="S39" s="23" cm="1">
        <f t="array" ref="S39">_xlfn.XLOOKUP(1, ('CALC EFRF'!$C$2:$C$74='CALC E'!C39)*('CALC EFRF'!$D$2:$D$74='CALC E'!D39),'CALC EFRF'!$I$2:$I$74)</f>
        <v>23.61</v>
      </c>
      <c r="T39" s="25" cm="1">
        <f t="array" ref="T39">_xlfn.XLOOKUP(1, ('CALC EFRF'!$C$2:$C$74='CALC E'!C39)*('CALC EFRF'!$D$2:$D$74='CALC E'!D39),'CALC EFRF'!$J$2:$J$74)</f>
        <v>123.39708232306727</v>
      </c>
      <c r="U39" s="43">
        <f>ROUND(E39*S39,setup!$G$2)</f>
        <v>648155.41</v>
      </c>
      <c r="V39" s="43">
        <f>IF(setup!$E$2,'CALC E'!U39,'CALC E'!U39/'CALC E'!Q39)</f>
        <v>648155.41</v>
      </c>
      <c r="W39" s="42">
        <f>ROUND(SQRT(R39^2+T39^2),setup!$G$2)</f>
        <v>129.82</v>
      </c>
      <c r="X39" s="50">
        <f t="shared" si="1"/>
        <v>7080134537191466</v>
      </c>
    </row>
    <row r="40" spans="1:24" x14ac:dyDescent="0.15">
      <c r="A40" s="7">
        <f>area!A40</f>
        <v>39</v>
      </c>
      <c r="B40" s="7" t="str">
        <f>area!B40</f>
        <v>T5</v>
      </c>
      <c r="C40" s="7" t="str">
        <f>area!C40</f>
        <v>WD</v>
      </c>
      <c r="D40" s="7" t="str">
        <f>area!D40</f>
        <v>GL</v>
      </c>
      <c r="E40" s="7">
        <f>area!E40</f>
        <v>16573.656022625637</v>
      </c>
      <c r="F40" s="7">
        <f>area!F40</f>
        <v>5894.9609538434879</v>
      </c>
      <c r="G40" s="7" t="str">
        <f>area!G40</f>
        <v>normal</v>
      </c>
      <c r="H40" s="7">
        <f>area!H40</f>
        <v>0</v>
      </c>
      <c r="I40" s="7">
        <f>area!I40</f>
        <v>0</v>
      </c>
      <c r="J40" s="7">
        <f>area!J40</f>
        <v>0</v>
      </c>
      <c r="K40" s="7" t="str">
        <f>area!K40</f>
        <v>DF</v>
      </c>
      <c r="L40" s="7" t="str">
        <f>area!L40</f>
        <v>30-Woodlands</v>
      </c>
      <c r="M40" s="7" t="str">
        <f>area!M40</f>
        <v>80-Grassland</v>
      </c>
      <c r="N40" s="7">
        <f>VLOOKUP('CALC E'!B40,time!$A$2:$D$9,2,FALSE)</f>
        <v>2021</v>
      </c>
      <c r="O40" s="7">
        <f>VLOOKUP('CALC E'!B40,time!$A$2:$D$9,3,FALSE)</f>
        <v>2021</v>
      </c>
      <c r="P40" s="7" t="str">
        <f>VLOOKUP('CALC E'!B40,time!$A$2:$D$9,4,FALSE)</f>
        <v>REF</v>
      </c>
      <c r="Q40" s="7">
        <f t="shared" si="0"/>
        <v>1</v>
      </c>
      <c r="R40" s="41">
        <f>ROUND(_xlfn.T.INV.2T(1 - setup!$F$2, 10000)*F40/E40*100,setup!$G$2)</f>
        <v>58.51</v>
      </c>
      <c r="S40" s="23" cm="1">
        <f t="array" ref="S40">_xlfn.XLOOKUP(1, ('CALC EFRF'!$C$2:$C$74='CALC E'!C40)*('CALC EFRF'!$D$2:$D$74='CALC E'!D40),'CALC EFRF'!$I$2:$I$74)</f>
        <v>11</v>
      </c>
      <c r="T40" s="25" cm="1">
        <f t="array" ref="T40">_xlfn.XLOOKUP(1, ('CALC EFRF'!$C$2:$C$74='CALC E'!C40)*('CALC EFRF'!$D$2:$D$74='CALC E'!D40),'CALC EFRF'!$J$2:$J$74)</f>
        <v>283.61076563087113</v>
      </c>
      <c r="U40" s="43">
        <f>ROUND(E40*S40,setup!$G$2)</f>
        <v>182310.22</v>
      </c>
      <c r="V40" s="43">
        <f>IF(setup!$E$2,'CALC E'!U40,'CALC E'!U40/'CALC E'!Q40)</f>
        <v>182310.22</v>
      </c>
      <c r="W40" s="42">
        <f>ROUND(SQRT(R40^2+T40^2),setup!$G$2)</f>
        <v>289.58</v>
      </c>
      <c r="X40" s="50">
        <f t="shared" si="1"/>
        <v>2787142398048301.5</v>
      </c>
    </row>
    <row r="41" spans="1:24" x14ac:dyDescent="0.15">
      <c r="A41" s="7">
        <f>area!A41</f>
        <v>40</v>
      </c>
      <c r="B41" s="7" t="str">
        <f>area!B41</f>
        <v>T5</v>
      </c>
      <c r="C41" s="7" t="str">
        <f>area!C41</f>
        <v>WD_log</v>
      </c>
      <c r="D41" s="7" t="str">
        <f>area!D41</f>
        <v>WD_log_deg</v>
      </c>
      <c r="E41" s="7">
        <f>area!E41</f>
        <v>6691.2986995760766</v>
      </c>
      <c r="F41" s="7">
        <f>area!F41</f>
        <v>3407.8720992536423</v>
      </c>
      <c r="G41" s="7" t="str">
        <f>area!G41</f>
        <v>normal</v>
      </c>
      <c r="H41" s="7">
        <f>area!H41</f>
        <v>0</v>
      </c>
      <c r="I41" s="7">
        <f>area!I41</f>
        <v>0</v>
      </c>
      <c r="J41" s="7">
        <f>area!J41</f>
        <v>0</v>
      </c>
      <c r="K41" s="7" t="str">
        <f>area!K41</f>
        <v>DG</v>
      </c>
      <c r="L41" s="7" t="str">
        <f>area!L41</f>
        <v>32-Woodlands</v>
      </c>
      <c r="M41" s="7" t="str">
        <f>area!M41</f>
        <v>42-Woodlands_Degraded_by_logging</v>
      </c>
      <c r="N41" s="7">
        <f>VLOOKUP('CALC E'!B41,time!$A$2:$D$9,2,FALSE)</f>
        <v>2021</v>
      </c>
      <c r="O41" s="7">
        <f>VLOOKUP('CALC E'!B41,time!$A$2:$D$9,3,FALSE)</f>
        <v>2021</v>
      </c>
      <c r="P41" s="7" t="str">
        <f>VLOOKUP('CALC E'!B41,time!$A$2:$D$9,4,FALSE)</f>
        <v>REF</v>
      </c>
      <c r="Q41" s="7">
        <f t="shared" si="0"/>
        <v>1</v>
      </c>
      <c r="R41" s="41">
        <f>ROUND(_xlfn.T.INV.2T(1 - setup!$F$2, 10000)*F41/E41*100,setup!$G$2)</f>
        <v>83.78</v>
      </c>
      <c r="S41" s="23" cm="1">
        <f t="array" ref="S41">_xlfn.XLOOKUP(1, ('CALC EFRF'!$C$2:$C$74='CALC E'!C41)*('CALC EFRF'!$D$2:$D$74='CALC E'!D41),'CALC EFRF'!$I$2:$I$74)</f>
        <v>4.4000000000000004</v>
      </c>
      <c r="T41" s="25" cm="1">
        <f t="array" ref="T41">_xlfn.XLOOKUP(1, ('CALC EFRF'!$C$2:$C$74='CALC E'!C41)*('CALC EFRF'!$D$2:$D$74='CALC E'!D41),'CALC EFRF'!$J$2:$J$74)</f>
        <v>780.42477636742024</v>
      </c>
      <c r="U41" s="43">
        <f>ROUND(E41*S41,setup!$G$2)</f>
        <v>29441.71</v>
      </c>
      <c r="V41" s="43">
        <f>IF(setup!$E$2,'CALC E'!U41,'CALC E'!U41/'CALC E'!Q41)</f>
        <v>29441.71</v>
      </c>
      <c r="W41" s="42">
        <f>ROUND(SQRT(R41^2+T41^2),setup!$G$2)</f>
        <v>784.91</v>
      </c>
      <c r="X41" s="50">
        <f t="shared" si="1"/>
        <v>534030160615123.81</v>
      </c>
    </row>
    <row r="42" spans="1:24" x14ac:dyDescent="0.15">
      <c r="A42" s="7">
        <f>area!A42</f>
        <v>41</v>
      </c>
      <c r="B42" s="7" t="str">
        <f>area!B42</f>
        <v>T5</v>
      </c>
      <c r="C42" s="7" t="str">
        <f>area!C42</f>
        <v>WD_other</v>
      </c>
      <c r="D42" s="7" t="str">
        <f>area!D42</f>
        <v>WD_other_deg</v>
      </c>
      <c r="E42" s="7">
        <f>area!E42</f>
        <v>5567.787397137693</v>
      </c>
      <c r="F42" s="7">
        <f>area!F42</f>
        <v>3377.2145906239803</v>
      </c>
      <c r="G42" s="7" t="str">
        <f>area!G42</f>
        <v>normal</v>
      </c>
      <c r="H42" s="7">
        <f>area!H42</f>
        <v>0</v>
      </c>
      <c r="I42" s="7">
        <f>area!I42</f>
        <v>0</v>
      </c>
      <c r="J42" s="7">
        <f>area!J42</f>
        <v>0</v>
      </c>
      <c r="K42" s="7" t="str">
        <f>area!K42</f>
        <v>DG</v>
      </c>
      <c r="L42" s="7" t="str">
        <f>area!L42</f>
        <v>34-Woodlands</v>
      </c>
      <c r="M42" s="7" t="str">
        <f>area!M42</f>
        <v>44-Woodlands_Degraded_by_other</v>
      </c>
      <c r="N42" s="7">
        <f>VLOOKUP('CALC E'!B42,time!$A$2:$D$9,2,FALSE)</f>
        <v>2021</v>
      </c>
      <c r="O42" s="7">
        <f>VLOOKUP('CALC E'!B42,time!$A$2:$D$9,3,FALSE)</f>
        <v>2021</v>
      </c>
      <c r="P42" s="7" t="str">
        <f>VLOOKUP('CALC E'!B42,time!$A$2:$D$9,4,FALSE)</f>
        <v>REF</v>
      </c>
      <c r="Q42" s="7">
        <f t="shared" si="0"/>
        <v>1</v>
      </c>
      <c r="R42" s="41">
        <f>ROUND(_xlfn.T.INV.2T(1 - setup!$F$2, 10000)*F42/E42*100,setup!$G$2)</f>
        <v>99.78</v>
      </c>
      <c r="S42" s="23" cm="1">
        <f t="array" ref="S42">_xlfn.XLOOKUP(1, ('CALC EFRF'!$C$2:$C$74='CALC E'!C42)*('CALC EFRF'!$D$2:$D$74='CALC E'!D42),'CALC EFRF'!$I$2:$I$74)</f>
        <v>8.32</v>
      </c>
      <c r="T42" s="25" cm="1">
        <f t="array" ref="T42">_xlfn.XLOOKUP(1, ('CALC EFRF'!$C$2:$C$74='CALC E'!C42)*('CALC EFRF'!$D$2:$D$74='CALC E'!D42),'CALC EFRF'!$J$2:$J$74)</f>
        <v>401.27519569826086</v>
      </c>
      <c r="U42" s="43">
        <f>ROUND(E42*S42,setup!$G$2)</f>
        <v>46323.99</v>
      </c>
      <c r="V42" s="43">
        <f>IF(setup!$E$2,'CALC E'!U42,'CALC E'!U42/'CALC E'!Q42)</f>
        <v>46323.99</v>
      </c>
      <c r="W42" s="42">
        <f>ROUND(SQRT(R42^2+T42^2),setup!$G$2)</f>
        <v>413.49</v>
      </c>
      <c r="X42" s="50">
        <f t="shared" si="1"/>
        <v>366895124050999.69</v>
      </c>
    </row>
    <row r="43" spans="1:24" x14ac:dyDescent="0.15">
      <c r="A43" s="7">
        <f>area!A43</f>
        <v>42</v>
      </c>
      <c r="B43" s="7" t="str">
        <f>area!B43</f>
        <v>T5</v>
      </c>
      <c r="C43" s="7" t="str">
        <f>area!C43</f>
        <v>FPc</v>
      </c>
      <c r="D43" s="7" t="str">
        <f>area!D43</f>
        <v>CP_a</v>
      </c>
      <c r="E43" s="7">
        <f>area!E43</f>
        <v>1109.0411150568182</v>
      </c>
      <c r="F43" s="7">
        <f>area!F43</f>
        <v>1109.0370699368061</v>
      </c>
      <c r="G43" s="7" t="str">
        <f>area!G43</f>
        <v>normal</v>
      </c>
      <c r="H43" s="7">
        <f>area!H43</f>
        <v>0</v>
      </c>
      <c r="I43" s="7">
        <f>area!I43</f>
        <v>0</v>
      </c>
      <c r="J43" s="7">
        <f>area!J43</f>
        <v>0</v>
      </c>
      <c r="K43" s="7" t="str">
        <f>area!K43</f>
        <v>DF</v>
      </c>
      <c r="L43" s="7" t="str">
        <f>area!L43</f>
        <v>51-Plantations commercial</v>
      </c>
      <c r="M43" s="7" t="str">
        <f>area!M43</f>
        <v>72-Cropland_annual</v>
      </c>
      <c r="N43" s="7">
        <f>VLOOKUP('CALC E'!B43,time!$A$2:$D$9,2,FALSE)</f>
        <v>2021</v>
      </c>
      <c r="O43" s="7">
        <f>VLOOKUP('CALC E'!B43,time!$A$2:$D$9,3,FALSE)</f>
        <v>2021</v>
      </c>
      <c r="P43" s="7" t="str">
        <f>VLOOKUP('CALC E'!B43,time!$A$2:$D$9,4,FALSE)</f>
        <v>REF</v>
      </c>
      <c r="Q43" s="7">
        <f t="shared" si="0"/>
        <v>1</v>
      </c>
      <c r="R43" s="41">
        <f>ROUND(_xlfn.T.INV.2T(1 - setup!$F$2, 10000)*F43/E43*100,setup!$G$2)</f>
        <v>164.5</v>
      </c>
      <c r="S43" s="23" cm="1">
        <f t="array" ref="S43">_xlfn.XLOOKUP(1, ('CALC EFRF'!$C$2:$C$74='CALC E'!C43)*('CALC EFRF'!$D$2:$D$74='CALC E'!D43),'CALC EFRF'!$I$2:$I$74)</f>
        <v>191.47</v>
      </c>
      <c r="T43" s="25" cm="1">
        <f t="array" ref="T43">_xlfn.XLOOKUP(1, ('CALC EFRF'!$C$2:$C$74='CALC E'!C43)*('CALC EFRF'!$D$2:$D$74='CALC E'!D43),'CALC EFRF'!$J$2:$J$74)</f>
        <v>39.412494342012806</v>
      </c>
      <c r="U43" s="43">
        <f>ROUND(E43*S43,setup!$G$2)</f>
        <v>212348.1</v>
      </c>
      <c r="V43" s="43">
        <f>IF(setup!$E$2,'CALC E'!U43,'CALC E'!U43/'CALC E'!Q43)</f>
        <v>212348.1</v>
      </c>
      <c r="W43" s="42">
        <f>ROUND(SQRT(R43^2+T43^2),setup!$G$2)</f>
        <v>169.16</v>
      </c>
      <c r="X43" s="50">
        <f t="shared" si="1"/>
        <v>1290304202824014.8</v>
      </c>
    </row>
    <row r="44" spans="1:24" x14ac:dyDescent="0.15">
      <c r="A44" s="7">
        <f>area!A44</f>
        <v>43</v>
      </c>
      <c r="B44" s="7" t="str">
        <f>area!B44</f>
        <v>T5</v>
      </c>
      <c r="C44" s="7" t="str">
        <f>area!C44</f>
        <v>FPc</v>
      </c>
      <c r="D44" s="7" t="str">
        <f>area!D44</f>
        <v>GL</v>
      </c>
      <c r="E44" s="7">
        <f>area!E44</f>
        <v>1109.0411150568182</v>
      </c>
      <c r="F44" s="7">
        <f>area!F44</f>
        <v>1109.0370699368061</v>
      </c>
      <c r="G44" s="7" t="str">
        <f>area!G44</f>
        <v>normal</v>
      </c>
      <c r="H44" s="7">
        <f>area!H44</f>
        <v>0</v>
      </c>
      <c r="I44" s="7">
        <f>area!I44</f>
        <v>0</v>
      </c>
      <c r="J44" s="7">
        <f>area!J44</f>
        <v>0</v>
      </c>
      <c r="K44" s="7" t="str">
        <f>area!K44</f>
        <v>DF</v>
      </c>
      <c r="L44" s="7" t="str">
        <f>area!L44</f>
        <v>51-Plantations commercial</v>
      </c>
      <c r="M44" s="7" t="str">
        <f>area!M44</f>
        <v>80-Grassland</v>
      </c>
      <c r="N44" s="7">
        <f>VLOOKUP('CALC E'!B44,time!$A$2:$D$9,2,FALSE)</f>
        <v>2021</v>
      </c>
      <c r="O44" s="7">
        <f>VLOOKUP('CALC E'!B44,time!$A$2:$D$9,3,FALSE)</f>
        <v>2021</v>
      </c>
      <c r="P44" s="7" t="str">
        <f>VLOOKUP('CALC E'!B44,time!$A$2:$D$9,4,FALSE)</f>
        <v>REF</v>
      </c>
      <c r="Q44" s="7">
        <f t="shared" si="0"/>
        <v>1</v>
      </c>
      <c r="R44" s="41">
        <f>ROUND(_xlfn.T.INV.2T(1 - setup!$F$2, 10000)*F44/E44*100,setup!$G$2)</f>
        <v>164.5</v>
      </c>
      <c r="S44" s="23" cm="1">
        <f t="array" ref="S44">_xlfn.XLOOKUP(1, ('CALC EFRF'!$C$2:$C$74='CALC E'!C44)*('CALC EFRF'!$D$2:$D$74='CALC E'!D44),'CALC EFRF'!$I$2:$I$74)</f>
        <v>178.86</v>
      </c>
      <c r="T44" s="25" cm="1">
        <f t="array" ref="T44">_xlfn.XLOOKUP(1, ('CALC EFRF'!$C$2:$C$74='CALC E'!C44)*('CALC EFRF'!$D$2:$D$74='CALC E'!D44),'CALC EFRF'!$J$2:$J$74)</f>
        <v>42.649608790315959</v>
      </c>
      <c r="U44" s="43">
        <f>ROUND(E44*S44,setup!$G$2)</f>
        <v>198363.09</v>
      </c>
      <c r="V44" s="43">
        <f>IF(setup!$E$2,'CALC E'!U44,'CALC E'!U44/'CALC E'!Q44)</f>
        <v>198363.09</v>
      </c>
      <c r="W44" s="42">
        <f>ROUND(SQRT(R44^2+T44^2),setup!$G$2)</f>
        <v>169.94</v>
      </c>
      <c r="X44" s="50">
        <f t="shared" si="1"/>
        <v>1136352201385479.2</v>
      </c>
    </row>
    <row r="45" spans="1:24" x14ac:dyDescent="0.15">
      <c r="A45" s="7">
        <f>area!A45</f>
        <v>44</v>
      </c>
      <c r="B45" s="7" t="str">
        <f>area!B45</f>
        <v>T5</v>
      </c>
      <c r="C45" s="7" t="str">
        <f>area!C45</f>
        <v>FPnc</v>
      </c>
      <c r="D45" s="7" t="str">
        <f>area!D45</f>
        <v>CP_a</v>
      </c>
      <c r="E45" s="7">
        <f>area!E45</f>
        <v>2218.0822301136363</v>
      </c>
      <c r="F45" s="7">
        <f>area!F45</f>
        <v>1567.8885166231225</v>
      </c>
      <c r="G45" s="7" t="str">
        <f>area!G45</f>
        <v>normal</v>
      </c>
      <c r="H45" s="7">
        <f>area!H45</f>
        <v>0</v>
      </c>
      <c r="I45" s="7">
        <f>area!I45</f>
        <v>0</v>
      </c>
      <c r="J45" s="7">
        <f>area!J45</f>
        <v>0</v>
      </c>
      <c r="K45" s="7" t="str">
        <f>area!K45</f>
        <v>DF</v>
      </c>
      <c r="L45" s="7" t="str">
        <f>area!L45</f>
        <v>52-Plantations non commercial</v>
      </c>
      <c r="M45" s="7" t="str">
        <f>area!M45</f>
        <v>72-Cropland_annual</v>
      </c>
      <c r="N45" s="7">
        <f>VLOOKUP('CALC E'!B45,time!$A$2:$D$9,2,FALSE)</f>
        <v>2021</v>
      </c>
      <c r="O45" s="7">
        <f>VLOOKUP('CALC E'!B45,time!$A$2:$D$9,3,FALSE)</f>
        <v>2021</v>
      </c>
      <c r="P45" s="7" t="str">
        <f>VLOOKUP('CALC E'!B45,time!$A$2:$D$9,4,FALSE)</f>
        <v>REF</v>
      </c>
      <c r="Q45" s="7">
        <f t="shared" si="0"/>
        <v>1</v>
      </c>
      <c r="R45" s="41">
        <f>ROUND(_xlfn.T.INV.2T(1 - setup!$F$2, 10000)*F45/E45*100,setup!$G$2)</f>
        <v>116.28</v>
      </c>
      <c r="S45" s="23" cm="1">
        <f t="array" ref="S45">_xlfn.XLOOKUP(1, ('CALC EFRF'!$C$2:$C$74='CALC E'!C45)*('CALC EFRF'!$D$2:$D$74='CALC E'!D45),'CALC EFRF'!$I$2:$I$74)</f>
        <v>191.47</v>
      </c>
      <c r="T45" s="25" cm="1">
        <f t="array" ref="T45">_xlfn.XLOOKUP(1, ('CALC EFRF'!$C$2:$C$74='CALC E'!C45)*('CALC EFRF'!$D$2:$D$74='CALC E'!D45),'CALC EFRF'!$J$2:$J$74)</f>
        <v>39.412494342012806</v>
      </c>
      <c r="U45" s="43">
        <f>ROUND(E45*S45,setup!$G$2)</f>
        <v>424696.2</v>
      </c>
      <c r="V45" s="43">
        <f>IF(setup!$E$2,'CALC E'!U45,'CALC E'!U45/'CALC E'!Q45)</f>
        <v>424696.2</v>
      </c>
      <c r="W45" s="42">
        <f>ROUND(SQRT(R45^2+T45^2),setup!$G$2)</f>
        <v>122.78</v>
      </c>
      <c r="X45" s="50">
        <f t="shared" si="1"/>
        <v>2719017534821343</v>
      </c>
    </row>
    <row r="46" spans="1:24" x14ac:dyDescent="0.15">
      <c r="A46" s="7">
        <f>area!A46</f>
        <v>45</v>
      </c>
      <c r="B46" s="7" t="str">
        <f>area!B46</f>
        <v>T5</v>
      </c>
      <c r="C46" s="7" t="str">
        <f>area!C46</f>
        <v>FPnc</v>
      </c>
      <c r="D46" s="7" t="str">
        <f>area!D46</f>
        <v>GL</v>
      </c>
      <c r="E46" s="7">
        <f>area!E46</f>
        <v>1109.0411150568182</v>
      </c>
      <c r="F46" s="7">
        <f>area!F46</f>
        <v>1109.0370699368061</v>
      </c>
      <c r="G46" s="7" t="str">
        <f>area!G46</f>
        <v>normal</v>
      </c>
      <c r="H46" s="7">
        <f>area!H46</f>
        <v>0</v>
      </c>
      <c r="I46" s="7">
        <f>area!I46</f>
        <v>0</v>
      </c>
      <c r="J46" s="7">
        <f>area!J46</f>
        <v>0</v>
      </c>
      <c r="K46" s="7" t="str">
        <f>area!K46</f>
        <v>DF</v>
      </c>
      <c r="L46" s="7" t="str">
        <f>area!L46</f>
        <v>52-Plantations non commercial</v>
      </c>
      <c r="M46" s="7" t="str">
        <f>area!M46</f>
        <v>80-Grassland</v>
      </c>
      <c r="N46" s="7">
        <f>VLOOKUP('CALC E'!B46,time!$A$2:$D$9,2,FALSE)</f>
        <v>2021</v>
      </c>
      <c r="O46" s="7">
        <f>VLOOKUP('CALC E'!B46,time!$A$2:$D$9,3,FALSE)</f>
        <v>2021</v>
      </c>
      <c r="P46" s="7" t="str">
        <f>VLOOKUP('CALC E'!B46,time!$A$2:$D$9,4,FALSE)</f>
        <v>REF</v>
      </c>
      <c r="Q46" s="7">
        <f t="shared" si="0"/>
        <v>1</v>
      </c>
      <c r="R46" s="41">
        <f>ROUND(_xlfn.T.INV.2T(1 - setup!$F$2, 10000)*F46/E46*100,setup!$G$2)</f>
        <v>164.5</v>
      </c>
      <c r="S46" s="23" cm="1">
        <f t="array" ref="S46">_xlfn.XLOOKUP(1, ('CALC EFRF'!$C$2:$C$74='CALC E'!C46)*('CALC EFRF'!$D$2:$D$74='CALC E'!D46),'CALC EFRF'!$I$2:$I$74)</f>
        <v>178.86</v>
      </c>
      <c r="T46" s="25" cm="1">
        <f t="array" ref="T46">_xlfn.XLOOKUP(1, ('CALC EFRF'!$C$2:$C$74='CALC E'!C46)*('CALC EFRF'!$D$2:$D$74='CALC E'!D46),'CALC EFRF'!$J$2:$J$74)</f>
        <v>42.649608790315959</v>
      </c>
      <c r="U46" s="43">
        <f>ROUND(E46*S46,setup!$G$2)</f>
        <v>198363.09</v>
      </c>
      <c r="V46" s="43">
        <f>IF(setup!$E$2,'CALC E'!U46,'CALC E'!U46/'CALC E'!Q46)</f>
        <v>198363.09</v>
      </c>
      <c r="W46" s="42">
        <f>ROUND(SQRT(R46^2+T46^2),setup!$G$2)</f>
        <v>169.94</v>
      </c>
      <c r="X46" s="50">
        <f t="shared" si="1"/>
        <v>1136352201385479.2</v>
      </c>
    </row>
    <row r="47" spans="1:24" x14ac:dyDescent="0.15">
      <c r="A47" s="7">
        <f>area!A47</f>
        <v>46</v>
      </c>
      <c r="B47" s="7" t="str">
        <f>area!B47</f>
        <v>T6</v>
      </c>
      <c r="C47" s="7" t="str">
        <f>area!C47</f>
        <v>THF</v>
      </c>
      <c r="D47" s="7" t="str">
        <f>area!D47</f>
        <v>CP_a</v>
      </c>
      <c r="E47" s="7">
        <f>area!E47</f>
        <v>2218.0822301136363</v>
      </c>
      <c r="F47" s="7">
        <f>area!F47</f>
        <v>1567.8989100889855</v>
      </c>
      <c r="G47" s="7" t="str">
        <f>area!G47</f>
        <v>normal</v>
      </c>
      <c r="H47" s="7">
        <f>area!H47</f>
        <v>0</v>
      </c>
      <c r="I47" s="7">
        <f>area!I47</f>
        <v>0</v>
      </c>
      <c r="J47" s="7">
        <f>area!J47</f>
        <v>0</v>
      </c>
      <c r="K47" s="7" t="str">
        <f>area!K47</f>
        <v>DF</v>
      </c>
      <c r="L47" s="7" t="str">
        <f>area!L47</f>
        <v>10-Tropical High Forest</v>
      </c>
      <c r="M47" s="7" t="str">
        <f>area!M47</f>
        <v>72-Cropland_annual</v>
      </c>
      <c r="N47" s="7">
        <f>VLOOKUP('CALC E'!B47,time!$A$2:$D$9,2,FALSE)</f>
        <v>2022</v>
      </c>
      <c r="O47" s="7">
        <f>VLOOKUP('CALC E'!B47,time!$A$2:$D$9,3,FALSE)</f>
        <v>2022</v>
      </c>
      <c r="P47" s="7" t="str">
        <f>VLOOKUP('CALC E'!B47,time!$A$2:$D$9,4,FALSE)</f>
        <v>NA</v>
      </c>
      <c r="Q47" s="7">
        <f t="shared" si="0"/>
        <v>1</v>
      </c>
      <c r="R47" s="41">
        <f>ROUND(_xlfn.T.INV.2T(1 - setup!$F$2, 10000)*F47/E47*100,setup!$G$2)</f>
        <v>116.28</v>
      </c>
      <c r="S47" s="23" cm="1">
        <f t="array" ref="S47">_xlfn.XLOOKUP(1, ('CALC EFRF'!$C$2:$C$74='CALC E'!C47)*('CALC EFRF'!$D$2:$D$74='CALC E'!D47),'CALC EFRF'!$I$2:$I$74)</f>
        <v>474.69</v>
      </c>
      <c r="T47" s="25" cm="1">
        <f t="array" ref="T47">_xlfn.XLOOKUP(1, ('CALC EFRF'!$C$2:$C$74='CALC E'!C47)*('CALC EFRF'!$D$2:$D$74='CALC E'!D47),'CALC EFRF'!$J$2:$J$74)</f>
        <v>34.314438879762903</v>
      </c>
      <c r="U47" s="43">
        <f>ROUND(E47*S47,setup!$G$2)</f>
        <v>1052901.45</v>
      </c>
      <c r="V47" s="43">
        <f>IF(setup!$E$2,'CALC E'!U47,'CALC E'!U47/'CALC E'!Q47)</f>
        <v>1052901.45</v>
      </c>
      <c r="W47" s="42">
        <f>ROUND(SQRT(R47^2+T47^2),setup!$G$2)</f>
        <v>121.24</v>
      </c>
      <c r="X47" s="50">
        <f t="shared" si="1"/>
        <v>1.6295485454255858E+16</v>
      </c>
    </row>
    <row r="48" spans="1:24" x14ac:dyDescent="0.15">
      <c r="A48" s="7">
        <f>area!A48</f>
        <v>47</v>
      </c>
      <c r="B48" s="7" t="str">
        <f>area!B48</f>
        <v>T6</v>
      </c>
      <c r="C48" s="7" t="str">
        <f>area!C48</f>
        <v>THF</v>
      </c>
      <c r="D48" s="7" t="str">
        <f>area!D48</f>
        <v>GL</v>
      </c>
      <c r="E48" s="7">
        <f>area!E48</f>
        <v>2218.0822301136363</v>
      </c>
      <c r="F48" s="7">
        <f>area!F48</f>
        <v>1567.8989100889855</v>
      </c>
      <c r="G48" s="7" t="str">
        <f>area!G48</f>
        <v>normal</v>
      </c>
      <c r="H48" s="7">
        <f>area!H48</f>
        <v>0</v>
      </c>
      <c r="I48" s="7">
        <f>area!I48</f>
        <v>0</v>
      </c>
      <c r="J48" s="7">
        <f>area!J48</f>
        <v>0</v>
      </c>
      <c r="K48" s="7" t="str">
        <f>area!K48</f>
        <v>DF</v>
      </c>
      <c r="L48" s="7" t="str">
        <f>area!L48</f>
        <v>10-Tropical High Forest</v>
      </c>
      <c r="M48" s="7" t="str">
        <f>area!M48</f>
        <v>80-Grassland</v>
      </c>
      <c r="N48" s="7">
        <f>VLOOKUP('CALC E'!B48,time!$A$2:$D$9,2,FALSE)</f>
        <v>2022</v>
      </c>
      <c r="O48" s="7">
        <f>VLOOKUP('CALC E'!B48,time!$A$2:$D$9,3,FALSE)</f>
        <v>2022</v>
      </c>
      <c r="P48" s="7" t="str">
        <f>VLOOKUP('CALC E'!B48,time!$A$2:$D$9,4,FALSE)</f>
        <v>NA</v>
      </c>
      <c r="Q48" s="7">
        <f t="shared" si="0"/>
        <v>1</v>
      </c>
      <c r="R48" s="41">
        <f>ROUND(_xlfn.T.INV.2T(1 - setup!$F$2, 10000)*F48/E48*100,setup!$G$2)</f>
        <v>116.28</v>
      </c>
      <c r="S48" s="23" cm="1">
        <f t="array" ref="S48">_xlfn.XLOOKUP(1, ('CALC EFRF'!$C$2:$C$74='CALC E'!C48)*('CALC EFRF'!$D$2:$D$74='CALC E'!D48),'CALC EFRF'!$I$2:$I$74)</f>
        <v>462.07</v>
      </c>
      <c r="T48" s="25" cm="1">
        <f t="array" ref="T48">_xlfn.XLOOKUP(1, ('CALC EFRF'!$C$2:$C$74='CALC E'!C48)*('CALC EFRF'!$D$2:$D$74='CALC E'!D48),'CALC EFRF'!$J$2:$J$74)</f>
        <v>35.333561644007922</v>
      </c>
      <c r="U48" s="43">
        <f>ROUND(E48*S48,setup!$G$2)</f>
        <v>1024909.26</v>
      </c>
      <c r="V48" s="43">
        <f>IF(setup!$E$2,'CALC E'!U48,'CALC E'!U48/'CALC E'!Q48)</f>
        <v>1024909.26</v>
      </c>
      <c r="W48" s="42">
        <f>ROUND(SQRT(R48^2+T48^2),setup!$G$2)</f>
        <v>121.53</v>
      </c>
      <c r="X48" s="50">
        <f t="shared" si="1"/>
        <v>1.5514501643981576E+16</v>
      </c>
    </row>
    <row r="49" spans="1:24" x14ac:dyDescent="0.15">
      <c r="A49" s="7">
        <f>area!A49</f>
        <v>48</v>
      </c>
      <c r="B49" s="7" t="str">
        <f>area!B49</f>
        <v>T6</v>
      </c>
      <c r="C49" s="7" t="str">
        <f>area!C49</f>
        <v>WD</v>
      </c>
      <c r="D49" s="7" t="str">
        <f>area!D49</f>
        <v>CP_a</v>
      </c>
      <c r="E49" s="7">
        <f>area!E49</f>
        <v>17510.981959727244</v>
      </c>
      <c r="F49" s="7">
        <f>area!F49</f>
        <v>5511.3933617013945</v>
      </c>
      <c r="G49" s="7" t="str">
        <f>area!G49</f>
        <v>normal</v>
      </c>
      <c r="H49" s="7">
        <f>area!H49</f>
        <v>0</v>
      </c>
      <c r="I49" s="7">
        <f>area!I49</f>
        <v>0</v>
      </c>
      <c r="J49" s="7">
        <f>area!J49</f>
        <v>0</v>
      </c>
      <c r="K49" s="7" t="str">
        <f>area!K49</f>
        <v>DF</v>
      </c>
      <c r="L49" s="7" t="str">
        <f>area!L49</f>
        <v>30-Woodlands</v>
      </c>
      <c r="M49" s="7" t="str">
        <f>area!M49</f>
        <v>72-Cropland_annual</v>
      </c>
      <c r="N49" s="7">
        <f>VLOOKUP('CALC E'!B49,time!$A$2:$D$9,2,FALSE)</f>
        <v>2022</v>
      </c>
      <c r="O49" s="7">
        <f>VLOOKUP('CALC E'!B49,time!$A$2:$D$9,3,FALSE)</f>
        <v>2022</v>
      </c>
      <c r="P49" s="7" t="str">
        <f>VLOOKUP('CALC E'!B49,time!$A$2:$D$9,4,FALSE)</f>
        <v>NA</v>
      </c>
      <c r="Q49" s="7">
        <f t="shared" si="0"/>
        <v>1</v>
      </c>
      <c r="R49" s="41">
        <f>ROUND(_xlfn.T.INV.2T(1 - setup!$F$2, 10000)*F49/E49*100,setup!$G$2)</f>
        <v>51.77</v>
      </c>
      <c r="S49" s="23" cm="1">
        <f t="array" ref="S49">_xlfn.XLOOKUP(1, ('CALC EFRF'!$C$2:$C$74='CALC E'!C49)*('CALC EFRF'!$D$2:$D$74='CALC E'!D49),'CALC EFRF'!$I$2:$I$74)</f>
        <v>23.61</v>
      </c>
      <c r="T49" s="25" cm="1">
        <f t="array" ref="T49">_xlfn.XLOOKUP(1, ('CALC EFRF'!$C$2:$C$74='CALC E'!C49)*('CALC EFRF'!$D$2:$D$74='CALC E'!D49),'CALC EFRF'!$J$2:$J$74)</f>
        <v>123.39708232306727</v>
      </c>
      <c r="U49" s="43">
        <f>ROUND(E49*S49,setup!$G$2)</f>
        <v>413434.28</v>
      </c>
      <c r="V49" s="43">
        <f>IF(setup!$E$2,'CALC E'!U49,'CALC E'!U49/'CALC E'!Q49)</f>
        <v>413434.28</v>
      </c>
      <c r="W49" s="42">
        <f>ROUND(SQRT(R49^2+T49^2),setup!$G$2)</f>
        <v>133.82</v>
      </c>
      <c r="X49" s="50">
        <f t="shared" si="1"/>
        <v>3060941418034407</v>
      </c>
    </row>
    <row r="50" spans="1:24" x14ac:dyDescent="0.15">
      <c r="A50" s="7">
        <f>area!A50</f>
        <v>49</v>
      </c>
      <c r="B50" s="7" t="str">
        <f>area!B50</f>
        <v>T6</v>
      </c>
      <c r="C50" s="7" t="str">
        <f>area!C50</f>
        <v>WD</v>
      </c>
      <c r="D50" s="7" t="str">
        <f>area!D50</f>
        <v>GL</v>
      </c>
      <c r="E50" s="7">
        <f>area!E50</f>
        <v>10426.967738423</v>
      </c>
      <c r="F50" s="7">
        <f>area!F50</f>
        <v>3803.487763618738</v>
      </c>
      <c r="G50" s="7" t="str">
        <f>area!G50</f>
        <v>normal</v>
      </c>
      <c r="H50" s="7">
        <f>area!H50</f>
        <v>0</v>
      </c>
      <c r="I50" s="7">
        <f>area!I50</f>
        <v>0</v>
      </c>
      <c r="J50" s="7">
        <f>area!J50</f>
        <v>0</v>
      </c>
      <c r="K50" s="7" t="str">
        <f>area!K50</f>
        <v>DF</v>
      </c>
      <c r="L50" s="7" t="str">
        <f>area!L50</f>
        <v>30-Woodlands</v>
      </c>
      <c r="M50" s="7" t="str">
        <f>area!M50</f>
        <v>80-Grassland</v>
      </c>
      <c r="N50" s="7">
        <f>VLOOKUP('CALC E'!B50,time!$A$2:$D$9,2,FALSE)</f>
        <v>2022</v>
      </c>
      <c r="O50" s="7">
        <f>VLOOKUP('CALC E'!B50,time!$A$2:$D$9,3,FALSE)</f>
        <v>2022</v>
      </c>
      <c r="P50" s="7" t="str">
        <f>VLOOKUP('CALC E'!B50,time!$A$2:$D$9,4,FALSE)</f>
        <v>NA</v>
      </c>
      <c r="Q50" s="7">
        <f t="shared" si="0"/>
        <v>1</v>
      </c>
      <c r="R50" s="41">
        <f>ROUND(_xlfn.T.INV.2T(1 - setup!$F$2, 10000)*F50/E50*100,setup!$G$2)</f>
        <v>60.01</v>
      </c>
      <c r="S50" s="23" cm="1">
        <f t="array" ref="S50">_xlfn.XLOOKUP(1, ('CALC EFRF'!$C$2:$C$74='CALC E'!C50)*('CALC EFRF'!$D$2:$D$74='CALC E'!D50),'CALC EFRF'!$I$2:$I$74)</f>
        <v>11</v>
      </c>
      <c r="T50" s="25" cm="1">
        <f t="array" ref="T50">_xlfn.XLOOKUP(1, ('CALC EFRF'!$C$2:$C$74='CALC E'!C50)*('CALC EFRF'!$D$2:$D$74='CALC E'!D50),'CALC EFRF'!$J$2:$J$74)</f>
        <v>283.61076563087113</v>
      </c>
      <c r="U50" s="43">
        <f>ROUND(E50*S50,setup!$G$2)</f>
        <v>114696.65</v>
      </c>
      <c r="V50" s="43">
        <f>IF(setup!$E$2,'CALC E'!U50,'CALC E'!U50/'CALC E'!Q50)</f>
        <v>114696.65</v>
      </c>
      <c r="W50" s="42">
        <f>ROUND(SQRT(R50^2+T50^2),setup!$G$2)</f>
        <v>289.89</v>
      </c>
      <c r="X50" s="50">
        <f t="shared" si="1"/>
        <v>1105523389601148.5</v>
      </c>
    </row>
    <row r="51" spans="1:24" x14ac:dyDescent="0.15">
      <c r="A51" s="7">
        <f>area!A51</f>
        <v>50</v>
      </c>
      <c r="B51" s="7" t="str">
        <f>area!B51</f>
        <v>T6</v>
      </c>
      <c r="C51" s="7" t="str">
        <f>area!C51</f>
        <v>WD_fire</v>
      </c>
      <c r="D51" s="7" t="str">
        <f>area!D51</f>
        <v>WD_fire_deg</v>
      </c>
      <c r="E51" s="7">
        <f>area!E51</f>
        <v>1109</v>
      </c>
      <c r="F51" s="7">
        <f>area!F51</f>
        <v>1109.0723820441096</v>
      </c>
      <c r="G51" s="7" t="str">
        <f>area!G51</f>
        <v>normal</v>
      </c>
      <c r="H51" s="7">
        <f>area!H51</f>
        <v>0</v>
      </c>
      <c r="I51" s="7">
        <f>area!I51</f>
        <v>0</v>
      </c>
      <c r="J51" s="7">
        <f>area!J51</f>
        <v>0</v>
      </c>
      <c r="K51" s="7" t="str">
        <f>area!K51</f>
        <v>DG</v>
      </c>
      <c r="L51" s="7" t="str">
        <f>area!L51</f>
        <v>31-Woodlands</v>
      </c>
      <c r="M51" s="7" t="str">
        <f>area!M51</f>
        <v>41-Woodlands_Degraded_by_fire</v>
      </c>
      <c r="N51" s="7">
        <f>VLOOKUP('CALC E'!B51,time!$A$2:$D$9,2,FALSE)</f>
        <v>2022</v>
      </c>
      <c r="O51" s="7">
        <f>VLOOKUP('CALC E'!B51,time!$A$2:$D$9,3,FALSE)</f>
        <v>2022</v>
      </c>
      <c r="P51" s="7" t="str">
        <f>VLOOKUP('CALC E'!B51,time!$A$2:$D$9,4,FALSE)</f>
        <v>NA</v>
      </c>
      <c r="Q51" s="7">
        <f t="shared" si="0"/>
        <v>1</v>
      </c>
      <c r="R51" s="41">
        <f>ROUND(_xlfn.T.INV.2T(1 - setup!$F$2, 10000)*F51/E51*100,setup!$G$2)</f>
        <v>164.51</v>
      </c>
      <c r="S51" s="23" cm="1">
        <f t="array" ref="S51">_xlfn.XLOOKUP(1, ('CALC EFRF'!$C$2:$C$74='CALC E'!C51)*('CALC EFRF'!$D$2:$D$74='CALC E'!D51),'CALC EFRF'!$I$2:$I$74)</f>
        <v>12.14</v>
      </c>
      <c r="T51" s="25" cm="1">
        <f t="array" ref="T51">_xlfn.XLOOKUP(1, ('CALC EFRF'!$C$2:$C$74='CALC E'!C51)*('CALC EFRF'!$D$2:$D$74='CALC E'!D51),'CALC EFRF'!$J$2:$J$74)</f>
        <v>265.33966972860395</v>
      </c>
      <c r="U51" s="43">
        <f>ROUND(E51*S51,setup!$G$2)</f>
        <v>13463.26</v>
      </c>
      <c r="V51" s="43">
        <f>IF(setup!$E$2,'CALC E'!U51,'CALC E'!U51/'CALC E'!Q51)</f>
        <v>13463.26</v>
      </c>
      <c r="W51" s="42">
        <f>ROUND(SQRT(R51^2+T51^2),setup!$G$2)</f>
        <v>312.2</v>
      </c>
      <c r="X51" s="50">
        <f t="shared" si="1"/>
        <v>17667140516227.172</v>
      </c>
    </row>
    <row r="52" spans="1:24" x14ac:dyDescent="0.15">
      <c r="A52" s="7">
        <f>area!A52</f>
        <v>51</v>
      </c>
      <c r="B52" s="7" t="str">
        <f>area!B52</f>
        <v>T6</v>
      </c>
      <c r="C52" s="7" t="str">
        <f>area!C52</f>
        <v>WD_log</v>
      </c>
      <c r="D52" s="7" t="str">
        <f>area!D52</f>
        <v>WD_log_deg</v>
      </c>
      <c r="E52" s="7">
        <f>area!E52</f>
        <v>6047</v>
      </c>
      <c r="F52" s="7">
        <f>area!F52</f>
        <v>4323.2948940149017</v>
      </c>
      <c r="G52" s="7" t="str">
        <f>area!G52</f>
        <v>normal</v>
      </c>
      <c r="H52" s="7">
        <f>area!H52</f>
        <v>0</v>
      </c>
      <c r="I52" s="7">
        <f>area!I52</f>
        <v>0</v>
      </c>
      <c r="J52" s="7">
        <f>area!J52</f>
        <v>0</v>
      </c>
      <c r="K52" s="7" t="str">
        <f>area!K52</f>
        <v>DG</v>
      </c>
      <c r="L52" s="7" t="str">
        <f>area!L52</f>
        <v>32-Woodlands</v>
      </c>
      <c r="M52" s="7" t="str">
        <f>area!M52</f>
        <v>42-Woodlands_Degraded_by_logging</v>
      </c>
      <c r="N52" s="7">
        <f>VLOOKUP('CALC E'!B52,time!$A$2:$D$9,2,FALSE)</f>
        <v>2022</v>
      </c>
      <c r="O52" s="7">
        <f>VLOOKUP('CALC E'!B52,time!$A$2:$D$9,3,FALSE)</f>
        <v>2022</v>
      </c>
      <c r="P52" s="7" t="str">
        <f>VLOOKUP('CALC E'!B52,time!$A$2:$D$9,4,FALSE)</f>
        <v>NA</v>
      </c>
      <c r="Q52" s="7">
        <f t="shared" si="0"/>
        <v>1</v>
      </c>
      <c r="R52" s="41">
        <f>ROUND(_xlfn.T.INV.2T(1 - setup!$F$2, 10000)*F52/E52*100,setup!$G$2)</f>
        <v>117.61</v>
      </c>
      <c r="S52" s="23" cm="1">
        <f t="array" ref="S52">_xlfn.XLOOKUP(1, ('CALC EFRF'!$C$2:$C$74='CALC E'!C52)*('CALC EFRF'!$D$2:$D$74='CALC E'!D52),'CALC EFRF'!$I$2:$I$74)</f>
        <v>4.4000000000000004</v>
      </c>
      <c r="T52" s="25" cm="1">
        <f t="array" ref="T52">_xlfn.XLOOKUP(1, ('CALC EFRF'!$C$2:$C$74='CALC E'!C52)*('CALC EFRF'!$D$2:$D$74='CALC E'!D52),'CALC EFRF'!$J$2:$J$74)</f>
        <v>780.42477636742024</v>
      </c>
      <c r="U52" s="43">
        <f>ROUND(E52*S52,setup!$G$2)</f>
        <v>26606.799999999999</v>
      </c>
      <c r="V52" s="43">
        <f>IF(setup!$E$2,'CALC E'!U52,'CALC E'!U52/'CALC E'!Q52)</f>
        <v>26606.799999999999</v>
      </c>
      <c r="W52" s="42">
        <f>ROUND(SQRT(R52^2+T52^2),setup!$G$2)</f>
        <v>789.24</v>
      </c>
      <c r="X52" s="50">
        <f t="shared" si="1"/>
        <v>440964335665086.25</v>
      </c>
    </row>
    <row r="53" spans="1:24" x14ac:dyDescent="0.15">
      <c r="A53" s="7">
        <f>area!A53</f>
        <v>52</v>
      </c>
      <c r="B53" s="7" t="str">
        <f>area!B53</f>
        <v>T6</v>
      </c>
      <c r="C53" s="7" t="str">
        <f>area!C53</f>
        <v>WD_other</v>
      </c>
      <c r="D53" s="7" t="str">
        <f>area!D53</f>
        <v>WD_other_deg</v>
      </c>
      <c r="E53" s="7">
        <f>area!E53</f>
        <v>2218.0822338888702</v>
      </c>
      <c r="F53" s="7">
        <f>area!F53</f>
        <v>1567.8989100889855</v>
      </c>
      <c r="G53" s="7" t="str">
        <f>area!G53</f>
        <v>normal</v>
      </c>
      <c r="H53" s="7">
        <f>area!H53</f>
        <v>0</v>
      </c>
      <c r="I53" s="7">
        <f>area!I53</f>
        <v>0</v>
      </c>
      <c r="J53" s="7">
        <f>area!J53</f>
        <v>0</v>
      </c>
      <c r="K53" s="7" t="str">
        <f>area!K53</f>
        <v>DG</v>
      </c>
      <c r="L53" s="7" t="str">
        <f>area!L53</f>
        <v>34-Woodlands</v>
      </c>
      <c r="M53" s="7" t="str">
        <f>area!M53</f>
        <v>44-Woodlands_Degraded_by_other</v>
      </c>
      <c r="N53" s="7">
        <f>VLOOKUP('CALC E'!B53,time!$A$2:$D$9,2,FALSE)</f>
        <v>2022</v>
      </c>
      <c r="O53" s="7">
        <f>VLOOKUP('CALC E'!B53,time!$A$2:$D$9,3,FALSE)</f>
        <v>2022</v>
      </c>
      <c r="P53" s="7" t="str">
        <f>VLOOKUP('CALC E'!B53,time!$A$2:$D$9,4,FALSE)</f>
        <v>NA</v>
      </c>
      <c r="Q53" s="7">
        <f t="shared" si="0"/>
        <v>1</v>
      </c>
      <c r="R53" s="41">
        <f>ROUND(_xlfn.T.INV.2T(1 - setup!$F$2, 10000)*F53/E53*100,setup!$G$2)</f>
        <v>116.28</v>
      </c>
      <c r="S53" s="23" cm="1">
        <f t="array" ref="S53">_xlfn.XLOOKUP(1, ('CALC EFRF'!$C$2:$C$74='CALC E'!C53)*('CALC EFRF'!$D$2:$D$74='CALC E'!D53),'CALC EFRF'!$I$2:$I$74)</f>
        <v>8.32</v>
      </c>
      <c r="T53" s="25" cm="1">
        <f t="array" ref="T53">_xlfn.XLOOKUP(1, ('CALC EFRF'!$C$2:$C$74='CALC E'!C53)*('CALC EFRF'!$D$2:$D$74='CALC E'!D53),'CALC EFRF'!$J$2:$J$74)</f>
        <v>401.27519569826086</v>
      </c>
      <c r="U53" s="43">
        <f>ROUND(E53*S53,setup!$G$2)</f>
        <v>18454.439999999999</v>
      </c>
      <c r="V53" s="43">
        <f>IF(setup!$E$2,'CALC E'!U53,'CALC E'!U53/'CALC E'!Q53)</f>
        <v>18454.439999999999</v>
      </c>
      <c r="W53" s="42">
        <f>ROUND(SQRT(R53^2+T53^2),setup!$G$2)</f>
        <v>417.78</v>
      </c>
      <c r="X53" s="50">
        <f t="shared" si="1"/>
        <v>59442495454971.797</v>
      </c>
    </row>
    <row r="54" spans="1:24" x14ac:dyDescent="0.15">
      <c r="A54" s="7">
        <f>area!A54</f>
        <v>53</v>
      </c>
      <c r="B54" s="7" t="str">
        <f>area!B54</f>
        <v>T6</v>
      </c>
      <c r="C54" s="7" t="str">
        <f>area!C54</f>
        <v>FPc</v>
      </c>
      <c r="D54" s="7" t="str">
        <f>area!D54</f>
        <v>CP_a</v>
      </c>
      <c r="E54" s="7">
        <f>area!E54</f>
        <v>1109.0723820441096</v>
      </c>
      <c r="F54" s="7">
        <f>area!F54</f>
        <v>1109.0723820441096</v>
      </c>
      <c r="G54" s="7" t="str">
        <f>area!G54</f>
        <v>normal</v>
      </c>
      <c r="H54" s="7">
        <f>area!H54</f>
        <v>0</v>
      </c>
      <c r="I54" s="7">
        <f>area!I54</f>
        <v>0</v>
      </c>
      <c r="J54" s="7">
        <f>area!J54</f>
        <v>0</v>
      </c>
      <c r="K54" s="7" t="str">
        <f>area!K54</f>
        <v>DF</v>
      </c>
      <c r="L54" s="7" t="str">
        <f>area!L54</f>
        <v>51-Plantations commercial</v>
      </c>
      <c r="M54" s="7" t="str">
        <f>area!M54</f>
        <v>72-Cropland_annual</v>
      </c>
      <c r="N54" s="7">
        <f>VLOOKUP('CALC E'!B54,time!$A$2:$D$9,2,FALSE)</f>
        <v>2022</v>
      </c>
      <c r="O54" s="7">
        <f>VLOOKUP('CALC E'!B54,time!$A$2:$D$9,3,FALSE)</f>
        <v>2022</v>
      </c>
      <c r="P54" s="7" t="str">
        <f>VLOOKUP('CALC E'!B54,time!$A$2:$D$9,4,FALSE)</f>
        <v>NA</v>
      </c>
      <c r="Q54" s="7">
        <f t="shared" si="0"/>
        <v>1</v>
      </c>
      <c r="R54" s="41">
        <f>ROUND(_xlfn.T.INV.2T(1 - setup!$F$2, 10000)*F54/E54*100,setup!$G$2)</f>
        <v>164.5</v>
      </c>
      <c r="S54" s="23" cm="1">
        <f t="array" ref="S54">_xlfn.XLOOKUP(1, ('CALC EFRF'!$C$2:$C$74='CALC E'!C54)*('CALC EFRF'!$D$2:$D$74='CALC E'!D54),'CALC EFRF'!$I$2:$I$74)</f>
        <v>191.47</v>
      </c>
      <c r="T54" s="25" cm="1">
        <f t="array" ref="T54">_xlfn.XLOOKUP(1, ('CALC EFRF'!$C$2:$C$74='CALC E'!C54)*('CALC EFRF'!$D$2:$D$74='CALC E'!D54),'CALC EFRF'!$J$2:$J$74)</f>
        <v>39.412494342012806</v>
      </c>
      <c r="U54" s="43">
        <f>ROUND(E54*S54,setup!$G$2)</f>
        <v>212354.09</v>
      </c>
      <c r="V54" s="43">
        <f>IF(setup!$E$2,'CALC E'!U54,'CALC E'!U54/'CALC E'!Q54)</f>
        <v>212354.09</v>
      </c>
      <c r="W54" s="42">
        <f>ROUND(SQRT(R54^2+T54^2),setup!$G$2)</f>
        <v>169.16</v>
      </c>
      <c r="X54" s="50">
        <f t="shared" si="1"/>
        <v>1290376998683127</v>
      </c>
    </row>
    <row r="55" spans="1:24" x14ac:dyDescent="0.15">
      <c r="A55" s="7">
        <f>area!A55</f>
        <v>54</v>
      </c>
      <c r="B55" s="7" t="str">
        <f>area!B55</f>
        <v>T6</v>
      </c>
      <c r="C55" s="7" t="str">
        <f>area!C55</f>
        <v>FPnc</v>
      </c>
      <c r="D55" s="7" t="str">
        <f>area!D55</f>
        <v>CP_a</v>
      </c>
      <c r="E55" s="7">
        <f>area!E55</f>
        <v>3327.1233451704543</v>
      </c>
      <c r="F55" s="7">
        <f>area!F55</f>
        <v>1919.5872525257344</v>
      </c>
      <c r="G55" s="7" t="str">
        <f>area!G55</f>
        <v>normal</v>
      </c>
      <c r="H55" s="7">
        <f>area!H55</f>
        <v>0</v>
      </c>
      <c r="I55" s="7">
        <f>area!I55</f>
        <v>0</v>
      </c>
      <c r="J55" s="7">
        <f>area!J55</f>
        <v>0</v>
      </c>
      <c r="K55" s="7" t="str">
        <f>area!K55</f>
        <v>DF</v>
      </c>
      <c r="L55" s="7" t="str">
        <f>area!L55</f>
        <v>52-Plantations non commercial</v>
      </c>
      <c r="M55" s="7" t="str">
        <f>area!M55</f>
        <v>72-Cropland_annual</v>
      </c>
      <c r="N55" s="7">
        <f>VLOOKUP('CALC E'!B55,time!$A$2:$D$9,2,FALSE)</f>
        <v>2022</v>
      </c>
      <c r="O55" s="7">
        <f>VLOOKUP('CALC E'!B55,time!$A$2:$D$9,3,FALSE)</f>
        <v>2022</v>
      </c>
      <c r="P55" s="7" t="str">
        <f>VLOOKUP('CALC E'!B55,time!$A$2:$D$9,4,FALSE)</f>
        <v>NA</v>
      </c>
      <c r="Q55" s="7">
        <f t="shared" si="0"/>
        <v>1</v>
      </c>
      <c r="R55" s="41">
        <f>ROUND(_xlfn.T.INV.2T(1 - setup!$F$2, 10000)*F55/E55*100,setup!$G$2)</f>
        <v>94.91</v>
      </c>
      <c r="S55" s="23" cm="1">
        <f t="array" ref="S55">_xlfn.XLOOKUP(1, ('CALC EFRF'!$C$2:$C$74='CALC E'!C55)*('CALC EFRF'!$D$2:$D$74='CALC E'!D55),'CALC EFRF'!$I$2:$I$74)</f>
        <v>191.47</v>
      </c>
      <c r="T55" s="25" cm="1">
        <f t="array" ref="T55">_xlfn.XLOOKUP(1, ('CALC EFRF'!$C$2:$C$74='CALC E'!C55)*('CALC EFRF'!$D$2:$D$74='CALC E'!D55),'CALC EFRF'!$J$2:$J$74)</f>
        <v>39.412494342012806</v>
      </c>
      <c r="U55" s="43">
        <f>ROUND(E55*S55,setup!$G$2)</f>
        <v>637044.31000000006</v>
      </c>
      <c r="V55" s="43">
        <f>IF(setup!$E$2,'CALC E'!U55,'CALC E'!U55/'CALC E'!Q55)</f>
        <v>637044.31000000006</v>
      </c>
      <c r="W55" s="42">
        <f>ROUND(SQRT(R55^2+T55^2),setup!$G$2)</f>
        <v>102.77</v>
      </c>
      <c r="X55" s="50">
        <f t="shared" si="1"/>
        <v>4286195688059814</v>
      </c>
    </row>
    <row r="56" spans="1:24" x14ac:dyDescent="0.15">
      <c r="A56" s="7">
        <f>area!A56</f>
        <v>55</v>
      </c>
      <c r="B56" s="7" t="str">
        <f>area!B56</f>
        <v>T6</v>
      </c>
      <c r="C56" s="7" t="str">
        <f>area!C56</f>
        <v>FPnc</v>
      </c>
      <c r="D56" s="7" t="str">
        <f>area!D56</f>
        <v>GL</v>
      </c>
      <c r="E56" s="7">
        <f>area!E56</f>
        <v>1109.0411150568182</v>
      </c>
      <c r="F56" s="7">
        <f>area!F56</f>
        <v>1109.0723820441096</v>
      </c>
      <c r="G56" s="7" t="str">
        <f>area!G56</f>
        <v>normal</v>
      </c>
      <c r="H56" s="7">
        <f>area!H56</f>
        <v>0</v>
      </c>
      <c r="I56" s="7">
        <f>area!I56</f>
        <v>0</v>
      </c>
      <c r="J56" s="7">
        <f>area!J56</f>
        <v>0</v>
      </c>
      <c r="K56" s="7" t="str">
        <f>area!K56</f>
        <v>DF</v>
      </c>
      <c r="L56" s="7" t="str">
        <f>area!L56</f>
        <v>52-Plantations non commercial</v>
      </c>
      <c r="M56" s="7" t="str">
        <f>area!M56</f>
        <v>80-Grassland</v>
      </c>
      <c r="N56" s="7">
        <f>VLOOKUP('CALC E'!B56,time!$A$2:$D$9,2,FALSE)</f>
        <v>2022</v>
      </c>
      <c r="O56" s="7">
        <f>VLOOKUP('CALC E'!B56,time!$A$2:$D$9,3,FALSE)</f>
        <v>2022</v>
      </c>
      <c r="P56" s="7" t="str">
        <f>VLOOKUP('CALC E'!B56,time!$A$2:$D$9,4,FALSE)</f>
        <v>NA</v>
      </c>
      <c r="Q56" s="7">
        <f t="shared" si="0"/>
        <v>1</v>
      </c>
      <c r="R56" s="41">
        <f>ROUND(_xlfn.T.INV.2T(1 - setup!$F$2, 10000)*F56/E56*100,setup!$G$2)</f>
        <v>164.51</v>
      </c>
      <c r="S56" s="23" cm="1">
        <f t="array" ref="S56">_xlfn.XLOOKUP(1, ('CALC EFRF'!$C$2:$C$74='CALC E'!C56)*('CALC EFRF'!$D$2:$D$74='CALC E'!D56),'CALC EFRF'!$I$2:$I$74)</f>
        <v>178.86</v>
      </c>
      <c r="T56" s="25" cm="1">
        <f t="array" ref="T56">_xlfn.XLOOKUP(1, ('CALC EFRF'!$C$2:$C$74='CALC E'!C56)*('CALC EFRF'!$D$2:$D$74='CALC E'!D56),'CALC EFRF'!$J$2:$J$74)</f>
        <v>42.649608790315959</v>
      </c>
      <c r="U56" s="43">
        <f>ROUND(E56*S56,setup!$G$2)</f>
        <v>198363.09</v>
      </c>
      <c r="V56" s="43">
        <f>IF(setup!$E$2,'CALC E'!U56,'CALC E'!U56/'CALC E'!Q56)</f>
        <v>198363.09</v>
      </c>
      <c r="W56" s="42">
        <f>ROUND(SQRT(R56^2+T56^2),setup!$G$2)</f>
        <v>169.95</v>
      </c>
      <c r="X56" s="50">
        <f t="shared" si="1"/>
        <v>1136485941015384.8</v>
      </c>
    </row>
    <row r="57" spans="1:24" x14ac:dyDescent="0.15">
      <c r="A57" s="7">
        <f>area!A57</f>
        <v>56</v>
      </c>
      <c r="B57" s="7" t="str">
        <f>area!B57</f>
        <v>T7</v>
      </c>
      <c r="C57" s="7" t="str">
        <f>area!C57</f>
        <v>THF</v>
      </c>
      <c r="D57" s="7" t="str">
        <f>area!D57</f>
        <v>CP_a</v>
      </c>
      <c r="E57" s="7">
        <f>area!E57</f>
        <v>2995.4016390978768</v>
      </c>
      <c r="F57" s="7">
        <f>area!F57</f>
        <v>2188.2035887964166</v>
      </c>
      <c r="G57" s="7" t="str">
        <f>area!G57</f>
        <v>normal</v>
      </c>
      <c r="H57" s="7">
        <f>area!H57</f>
        <v>0</v>
      </c>
      <c r="I57" s="7">
        <f>area!I57</f>
        <v>0</v>
      </c>
      <c r="J57" s="7">
        <f>area!J57</f>
        <v>0</v>
      </c>
      <c r="K57" s="7" t="str">
        <f>area!K57</f>
        <v>DF</v>
      </c>
      <c r="L57" s="7" t="str">
        <f>area!L57</f>
        <v>10-Tropical High Forest</v>
      </c>
      <c r="M57" s="7" t="str">
        <f>area!M57</f>
        <v>72-Cropland_annual</v>
      </c>
      <c r="N57" s="7">
        <f>VLOOKUP('CALC E'!B57,time!$A$2:$D$9,2,FALSE)</f>
        <v>2023</v>
      </c>
      <c r="O57" s="7">
        <f>VLOOKUP('CALC E'!B57,time!$A$2:$D$9,3,FALSE)</f>
        <v>2023</v>
      </c>
      <c r="P57" s="7" t="str">
        <f>VLOOKUP('CALC E'!B57,time!$A$2:$D$9,4,FALSE)</f>
        <v>MON2</v>
      </c>
      <c r="Q57" s="7">
        <f t="shared" si="0"/>
        <v>1</v>
      </c>
      <c r="R57" s="41">
        <f>ROUND(_xlfn.T.INV.2T(1 - setup!$F$2, 10000)*F57/E57*100,setup!$G$2)</f>
        <v>120.17</v>
      </c>
      <c r="S57" s="23" cm="1">
        <f t="array" ref="S57">_xlfn.XLOOKUP(1, ('CALC EFRF'!$C$2:$C$74='CALC E'!C57)*('CALC EFRF'!$D$2:$D$74='CALC E'!D57),'CALC EFRF'!$I$2:$I$74)</f>
        <v>474.69</v>
      </c>
      <c r="T57" s="25" cm="1">
        <f t="array" ref="T57">_xlfn.XLOOKUP(1, ('CALC EFRF'!$C$2:$C$74='CALC E'!C57)*('CALC EFRF'!$D$2:$D$74='CALC E'!D57),'CALC EFRF'!$J$2:$J$74)</f>
        <v>34.314438879762903</v>
      </c>
      <c r="U57" s="43">
        <f>ROUND(E57*S57,setup!$G$2)</f>
        <v>1421887.2</v>
      </c>
      <c r="V57" s="43">
        <f>IF(setup!$E$2,'CALC E'!U57,'CALC E'!U57/'CALC E'!Q57)</f>
        <v>1421887.2</v>
      </c>
      <c r="W57" s="42">
        <f>ROUND(SQRT(R57^2+T57^2),setup!$G$2)</f>
        <v>124.97</v>
      </c>
      <c r="X57" s="50">
        <f t="shared" si="1"/>
        <v>3.157488874432546E+16</v>
      </c>
    </row>
    <row r="58" spans="1:24" x14ac:dyDescent="0.15">
      <c r="A58" s="7">
        <f>area!A58</f>
        <v>57</v>
      </c>
      <c r="B58" s="7" t="str">
        <f>area!B58</f>
        <v>T7</v>
      </c>
      <c r="C58" s="7" t="str">
        <f>area!C58</f>
        <v>THF</v>
      </c>
      <c r="D58" s="7" t="str">
        <f>area!D58</f>
        <v>GL</v>
      </c>
      <c r="E58" s="7">
        <f>area!E58</f>
        <v>1109.0411150568182</v>
      </c>
      <c r="F58" s="7">
        <f>area!F58</f>
        <v>1109.0723820441096</v>
      </c>
      <c r="G58" s="7" t="str">
        <f>area!G58</f>
        <v>normal</v>
      </c>
      <c r="H58" s="7">
        <f>area!H58</f>
        <v>0</v>
      </c>
      <c r="I58" s="7">
        <f>area!I58</f>
        <v>0</v>
      </c>
      <c r="J58" s="7">
        <f>area!J58</f>
        <v>0</v>
      </c>
      <c r="K58" s="7" t="str">
        <f>area!K58</f>
        <v>DF</v>
      </c>
      <c r="L58" s="7" t="str">
        <f>area!L58</f>
        <v>10-Tropical High Forest</v>
      </c>
      <c r="M58" s="7" t="str">
        <f>area!M58</f>
        <v>80-Grassland</v>
      </c>
      <c r="N58" s="7">
        <f>VLOOKUP('CALC E'!B58,time!$A$2:$D$9,2,FALSE)</f>
        <v>2023</v>
      </c>
      <c r="O58" s="7">
        <f>VLOOKUP('CALC E'!B58,time!$A$2:$D$9,3,FALSE)</f>
        <v>2023</v>
      </c>
      <c r="P58" s="7" t="str">
        <f>VLOOKUP('CALC E'!B58,time!$A$2:$D$9,4,FALSE)</f>
        <v>MON2</v>
      </c>
      <c r="Q58" s="7">
        <f t="shared" si="0"/>
        <v>1</v>
      </c>
      <c r="R58" s="41">
        <f>ROUND(_xlfn.T.INV.2T(1 - setup!$F$2, 10000)*F58/E58*100,setup!$G$2)</f>
        <v>164.51</v>
      </c>
      <c r="S58" s="23" cm="1">
        <f t="array" ref="S58">_xlfn.XLOOKUP(1, ('CALC EFRF'!$C$2:$C$74='CALC E'!C58)*('CALC EFRF'!$D$2:$D$74='CALC E'!D58),'CALC EFRF'!$I$2:$I$74)</f>
        <v>462.07</v>
      </c>
      <c r="T58" s="25" cm="1">
        <f t="array" ref="T58">_xlfn.XLOOKUP(1, ('CALC EFRF'!$C$2:$C$74='CALC E'!C58)*('CALC EFRF'!$D$2:$D$74='CALC E'!D58),'CALC EFRF'!$J$2:$J$74)</f>
        <v>35.333561644007922</v>
      </c>
      <c r="U58" s="43">
        <f>ROUND(E58*S58,setup!$G$2)</f>
        <v>512454.63</v>
      </c>
      <c r="V58" s="43">
        <f>IF(setup!$E$2,'CALC E'!U58,'CALC E'!U58/'CALC E'!Q58)</f>
        <v>512454.63</v>
      </c>
      <c r="W58" s="42">
        <f>ROUND(SQRT(R58^2+T58^2),setup!$G$2)</f>
        <v>168.26</v>
      </c>
      <c r="X58" s="50">
        <f t="shared" si="1"/>
        <v>7434856862132819</v>
      </c>
    </row>
    <row r="59" spans="1:24" x14ac:dyDescent="0.15">
      <c r="A59" s="7">
        <f>area!A59</f>
        <v>58</v>
      </c>
      <c r="B59" s="7" t="str">
        <f>area!B59</f>
        <v>T7</v>
      </c>
      <c r="C59" s="7" t="str">
        <f>area!C59</f>
        <v>THF_otha</v>
      </c>
      <c r="D59" s="7" t="str">
        <f>area!D59</f>
        <v>THF_otha_deg</v>
      </c>
      <c r="E59" s="7">
        <f>area!E59</f>
        <v>1109.0411150568182</v>
      </c>
      <c r="F59" s="7">
        <f>area!F59</f>
        <v>1109.0723820441096</v>
      </c>
      <c r="G59" s="7" t="str">
        <f>area!G59</f>
        <v>normal</v>
      </c>
      <c r="H59" s="7">
        <f>area!H59</f>
        <v>0</v>
      </c>
      <c r="I59" s="7">
        <f>area!I59</f>
        <v>0</v>
      </c>
      <c r="J59" s="7">
        <f>area!J59</f>
        <v>0</v>
      </c>
      <c r="K59" s="7" t="str">
        <f>area!K59</f>
        <v>DG</v>
      </c>
      <c r="L59" s="7" t="str">
        <f>area!L59</f>
        <v>11-Tropical High Forest</v>
      </c>
      <c r="M59" s="7" t="str">
        <f>area!M59</f>
        <v>21-Tropical High Forest Degraded by other</v>
      </c>
      <c r="N59" s="7">
        <f>VLOOKUP('CALC E'!B59,time!$A$2:$D$9,2,FALSE)</f>
        <v>2023</v>
      </c>
      <c r="O59" s="7">
        <f>VLOOKUP('CALC E'!B59,time!$A$2:$D$9,3,FALSE)</f>
        <v>2023</v>
      </c>
      <c r="P59" s="7" t="str">
        <f>VLOOKUP('CALC E'!B59,time!$A$2:$D$9,4,FALSE)</f>
        <v>MON2</v>
      </c>
      <c r="Q59" s="7">
        <f t="shared" si="0"/>
        <v>1</v>
      </c>
      <c r="R59" s="41">
        <f>ROUND(_xlfn.T.INV.2T(1 - setup!$F$2, 10000)*F59/E59*100,setup!$G$2)</f>
        <v>164.51</v>
      </c>
      <c r="S59" s="23" cm="1">
        <f t="array" ref="S59">_xlfn.XLOOKUP(1, ('CALC EFRF'!$C$2:$C$74='CALC E'!C59)*('CALC EFRF'!$D$2:$D$74='CALC E'!D59),'CALC EFRF'!$I$2:$I$74)</f>
        <v>100.36</v>
      </c>
      <c r="T59" s="25" cm="1">
        <f t="array" ref="T59">_xlfn.XLOOKUP(1, ('CALC EFRF'!$C$2:$C$74='CALC E'!C59)*('CALC EFRF'!$D$2:$D$74='CALC E'!D59),'CALC EFRF'!$J$2:$J$74)</f>
        <v>230.96933613064903</v>
      </c>
      <c r="U59" s="43">
        <f>ROUND(E59*S59,setup!$G$2)</f>
        <v>111303.37</v>
      </c>
      <c r="V59" s="43">
        <f>IF(setup!$E$2,'CALC E'!U59,'CALC E'!U59/'CALC E'!Q59)</f>
        <v>111303.37</v>
      </c>
      <c r="W59" s="42">
        <f>ROUND(SQRT(R59^2+T59^2),setup!$G$2)</f>
        <v>283.57</v>
      </c>
      <c r="X59" s="50">
        <f t="shared" si="1"/>
        <v>996178568616921.5</v>
      </c>
    </row>
    <row r="60" spans="1:24" x14ac:dyDescent="0.15">
      <c r="A60" s="7">
        <f>area!A60</f>
        <v>59</v>
      </c>
      <c r="B60" s="7" t="str">
        <f>area!B60</f>
        <v>T7</v>
      </c>
      <c r="C60" s="7" t="str">
        <f>area!C60</f>
        <v>WD</v>
      </c>
      <c r="D60" s="7" t="str">
        <f>area!D60</f>
        <v>CP_a</v>
      </c>
      <c r="E60" s="7">
        <f>area!E60</f>
        <v>17366.805603558201</v>
      </c>
      <c r="F60" s="7">
        <f>area!F60</f>
        <v>5653.9525756718413</v>
      </c>
      <c r="G60" s="7" t="str">
        <f>area!G60</f>
        <v>normal</v>
      </c>
      <c r="H60" s="7">
        <f>area!H60</f>
        <v>0</v>
      </c>
      <c r="I60" s="7">
        <f>area!I60</f>
        <v>0</v>
      </c>
      <c r="J60" s="7">
        <f>area!J60</f>
        <v>0</v>
      </c>
      <c r="K60" s="7" t="str">
        <f>area!K60</f>
        <v>DF</v>
      </c>
      <c r="L60" s="7" t="str">
        <f>area!L60</f>
        <v>30-Woodlands</v>
      </c>
      <c r="M60" s="7" t="str">
        <f>area!M60</f>
        <v>72-Cropland_annual</v>
      </c>
      <c r="N60" s="7">
        <f>VLOOKUP('CALC E'!B60,time!$A$2:$D$9,2,FALSE)</f>
        <v>2023</v>
      </c>
      <c r="O60" s="7">
        <f>VLOOKUP('CALC E'!B60,time!$A$2:$D$9,3,FALSE)</f>
        <v>2023</v>
      </c>
      <c r="P60" s="7" t="str">
        <f>VLOOKUP('CALC E'!B60,time!$A$2:$D$9,4,FALSE)</f>
        <v>MON2</v>
      </c>
      <c r="Q60" s="7">
        <f t="shared" si="0"/>
        <v>1</v>
      </c>
      <c r="R60" s="41">
        <f>ROUND(_xlfn.T.INV.2T(1 - setup!$F$2, 10000)*F60/E60*100,setup!$G$2)</f>
        <v>53.55</v>
      </c>
      <c r="S60" s="23" cm="1">
        <f t="array" ref="S60">_xlfn.XLOOKUP(1, ('CALC EFRF'!$C$2:$C$74='CALC E'!C60)*('CALC EFRF'!$D$2:$D$74='CALC E'!D60),'CALC EFRF'!$I$2:$I$74)</f>
        <v>23.61</v>
      </c>
      <c r="T60" s="25" cm="1">
        <f t="array" ref="T60">_xlfn.XLOOKUP(1, ('CALC EFRF'!$C$2:$C$74='CALC E'!C60)*('CALC EFRF'!$D$2:$D$74='CALC E'!D60),'CALC EFRF'!$J$2:$J$74)</f>
        <v>123.39708232306727</v>
      </c>
      <c r="U60" s="43">
        <f>ROUND(E60*S60,setup!$G$2)</f>
        <v>410030.28</v>
      </c>
      <c r="V60" s="43">
        <f>IF(setup!$E$2,'CALC E'!U60,'CALC E'!U60/'CALC E'!Q60)</f>
        <v>410030.28</v>
      </c>
      <c r="W60" s="42">
        <f>ROUND(SQRT(R60^2+T60^2),setup!$G$2)</f>
        <v>134.52000000000001</v>
      </c>
      <c r="X60" s="50">
        <f t="shared" si="1"/>
        <v>3042324794096073.5</v>
      </c>
    </row>
    <row r="61" spans="1:24" x14ac:dyDescent="0.15">
      <c r="A61" s="7">
        <f>area!A61</f>
        <v>60</v>
      </c>
      <c r="B61" s="7" t="str">
        <f>area!B61</f>
        <v>T7</v>
      </c>
      <c r="C61" s="7" t="str">
        <f>area!C61</f>
        <v>WD</v>
      </c>
      <c r="D61" s="7" t="str">
        <f>area!D61</f>
        <v>GL</v>
      </c>
      <c r="E61" s="7">
        <f>area!E61</f>
        <v>9649.6483294387854</v>
      </c>
      <c r="F61" s="7">
        <f>area!F61</f>
        <v>3483.25</v>
      </c>
      <c r="G61" s="7" t="str">
        <f>area!G61</f>
        <v>normal</v>
      </c>
      <c r="H61" s="7">
        <f>area!H61</f>
        <v>0</v>
      </c>
      <c r="I61" s="7">
        <f>area!I61</f>
        <v>0</v>
      </c>
      <c r="J61" s="7">
        <f>area!J61</f>
        <v>0</v>
      </c>
      <c r="K61" s="7" t="str">
        <f>area!K61</f>
        <v>DF</v>
      </c>
      <c r="L61" s="7" t="str">
        <f>area!L61</f>
        <v>30-Woodlands</v>
      </c>
      <c r="M61" s="7" t="str">
        <f>area!M61</f>
        <v>80-Grassland</v>
      </c>
      <c r="N61" s="7">
        <f>VLOOKUP('CALC E'!B61,time!$A$2:$D$9,2,FALSE)</f>
        <v>2023</v>
      </c>
      <c r="O61" s="7">
        <f>VLOOKUP('CALC E'!B61,time!$A$2:$D$9,3,FALSE)</f>
        <v>2023</v>
      </c>
      <c r="P61" s="7" t="str">
        <f>VLOOKUP('CALC E'!B61,time!$A$2:$D$9,4,FALSE)</f>
        <v>MON2</v>
      </c>
      <c r="Q61" s="7">
        <f t="shared" si="0"/>
        <v>1</v>
      </c>
      <c r="R61" s="41">
        <f>ROUND(_xlfn.T.INV.2T(1 - setup!$F$2, 10000)*F61/E61*100,setup!$G$2)</f>
        <v>59.38</v>
      </c>
      <c r="S61" s="23" cm="1">
        <f t="array" ref="S61">_xlfn.XLOOKUP(1, ('CALC EFRF'!$C$2:$C$74='CALC E'!C61)*('CALC EFRF'!$D$2:$D$74='CALC E'!D61),'CALC EFRF'!$I$2:$I$74)</f>
        <v>11</v>
      </c>
      <c r="T61" s="25" cm="1">
        <f t="array" ref="T61">_xlfn.XLOOKUP(1, ('CALC EFRF'!$C$2:$C$74='CALC E'!C61)*('CALC EFRF'!$D$2:$D$74='CALC E'!D61),'CALC EFRF'!$J$2:$J$74)</f>
        <v>283.61076563087113</v>
      </c>
      <c r="U61" s="43">
        <f>ROUND(E61*S61,setup!$G$2)</f>
        <v>106146.13</v>
      </c>
      <c r="V61" s="43">
        <f>IF(setup!$E$2,'CALC E'!U61,'CALC E'!U61/'CALC E'!Q61)</f>
        <v>106146.13</v>
      </c>
      <c r="W61" s="42">
        <f>ROUND(SQRT(R61^2+T61^2),setup!$G$2)</f>
        <v>289.76</v>
      </c>
      <c r="X61" s="50">
        <f t="shared" si="1"/>
        <v>945987059317484.38</v>
      </c>
    </row>
    <row r="62" spans="1:24" x14ac:dyDescent="0.15">
      <c r="A62" s="7">
        <f>area!A62</f>
        <v>61</v>
      </c>
      <c r="B62" s="7" t="str">
        <f>area!B62</f>
        <v>T7</v>
      </c>
      <c r="C62" s="7" t="str">
        <f>area!C62</f>
        <v>WD_fire</v>
      </c>
      <c r="D62" s="7" t="str">
        <f>area!D62</f>
        <v>WD_fire_deg</v>
      </c>
      <c r="E62" s="7">
        <f>area!E62</f>
        <v>3681</v>
      </c>
      <c r="F62" s="7">
        <f>area!F62</f>
        <v>2801.23</v>
      </c>
      <c r="G62" s="7" t="str">
        <f>area!G62</f>
        <v>normal</v>
      </c>
      <c r="H62" s="7">
        <f>area!H62</f>
        <v>0</v>
      </c>
      <c r="I62" s="7">
        <f>area!I62</f>
        <v>0</v>
      </c>
      <c r="J62" s="7">
        <f>area!J62</f>
        <v>0</v>
      </c>
      <c r="K62" s="7" t="str">
        <f>area!K62</f>
        <v>DG</v>
      </c>
      <c r="L62" s="7" t="str">
        <f>area!L62</f>
        <v>31-Woodlands</v>
      </c>
      <c r="M62" s="7" t="str">
        <f>area!M62</f>
        <v>41-Woodlands_Degraded_by_fire</v>
      </c>
      <c r="N62" s="7">
        <f>VLOOKUP('CALC E'!B62,time!$A$2:$D$9,2,FALSE)</f>
        <v>2023</v>
      </c>
      <c r="O62" s="7">
        <f>VLOOKUP('CALC E'!B62,time!$A$2:$D$9,3,FALSE)</f>
        <v>2023</v>
      </c>
      <c r="P62" s="7" t="str">
        <f>VLOOKUP('CALC E'!B62,time!$A$2:$D$9,4,FALSE)</f>
        <v>MON2</v>
      </c>
      <c r="Q62" s="7">
        <f t="shared" si="0"/>
        <v>1</v>
      </c>
      <c r="R62" s="41">
        <f>ROUND(_xlfn.T.INV.2T(1 - setup!$F$2, 10000)*F62/E62*100,setup!$G$2)</f>
        <v>125.18</v>
      </c>
      <c r="S62" s="23" cm="1">
        <f t="array" ref="S62">_xlfn.XLOOKUP(1, ('CALC EFRF'!$C$2:$C$74='CALC E'!C62)*('CALC EFRF'!$D$2:$D$74='CALC E'!D62),'CALC EFRF'!$I$2:$I$74)</f>
        <v>12.14</v>
      </c>
      <c r="T62" s="25" cm="1">
        <f t="array" ref="T62">_xlfn.XLOOKUP(1, ('CALC EFRF'!$C$2:$C$74='CALC E'!C62)*('CALC EFRF'!$D$2:$D$74='CALC E'!D62),'CALC EFRF'!$J$2:$J$74)</f>
        <v>265.33966972860395</v>
      </c>
      <c r="U62" s="43">
        <f>ROUND(E62*S62,setup!$G$2)</f>
        <v>44687.34</v>
      </c>
      <c r="V62" s="43">
        <f>IF(setup!$E$2,'CALC E'!U62,'CALC E'!U62/'CALC E'!Q62)</f>
        <v>44687.34</v>
      </c>
      <c r="W62" s="42">
        <f>ROUND(SQRT(R62^2+T62^2),setup!$G$2)</f>
        <v>293.39</v>
      </c>
      <c r="X62" s="50">
        <f t="shared" si="1"/>
        <v>171893566528013.19</v>
      </c>
    </row>
    <row r="63" spans="1:24" x14ac:dyDescent="0.15">
      <c r="A63" s="7">
        <f>area!A63</f>
        <v>62</v>
      </c>
      <c r="B63" s="7" t="str">
        <f>area!B63</f>
        <v>T7</v>
      </c>
      <c r="C63" s="7" t="str">
        <f>area!C63</f>
        <v>WD_other</v>
      </c>
      <c r="D63" s="7" t="str">
        <f>area!D63</f>
        <v>WD_other_deg</v>
      </c>
      <c r="E63" s="7">
        <f>area!E63</f>
        <v>1109</v>
      </c>
      <c r="F63" s="7">
        <f>area!F63</f>
        <v>1109.0723820441096</v>
      </c>
      <c r="G63" s="7" t="str">
        <f>area!G63</f>
        <v>normal</v>
      </c>
      <c r="H63" s="7">
        <f>area!H63</f>
        <v>0</v>
      </c>
      <c r="I63" s="7">
        <f>area!I63</f>
        <v>0</v>
      </c>
      <c r="J63" s="7">
        <f>area!J63</f>
        <v>0</v>
      </c>
      <c r="K63" s="7" t="str">
        <f>area!K63</f>
        <v>DG</v>
      </c>
      <c r="L63" s="7" t="str">
        <f>area!L63</f>
        <v>34-Woodlands</v>
      </c>
      <c r="M63" s="7" t="str">
        <f>area!M63</f>
        <v>44-Woodlands_Degraded_by_other</v>
      </c>
      <c r="N63" s="7">
        <f>VLOOKUP('CALC E'!B63,time!$A$2:$D$9,2,FALSE)</f>
        <v>2023</v>
      </c>
      <c r="O63" s="7">
        <f>VLOOKUP('CALC E'!B63,time!$A$2:$D$9,3,FALSE)</f>
        <v>2023</v>
      </c>
      <c r="P63" s="7" t="str">
        <f>VLOOKUP('CALC E'!B63,time!$A$2:$D$9,4,FALSE)</f>
        <v>MON2</v>
      </c>
      <c r="Q63" s="7">
        <f t="shared" si="0"/>
        <v>1</v>
      </c>
      <c r="R63" s="41">
        <f>ROUND(_xlfn.T.INV.2T(1 - setup!$F$2, 10000)*F63/E63*100,setup!$G$2)</f>
        <v>164.51</v>
      </c>
      <c r="S63" s="23" cm="1">
        <f t="array" ref="S63">_xlfn.XLOOKUP(1, ('CALC EFRF'!$C$2:$C$74='CALC E'!C63)*('CALC EFRF'!$D$2:$D$74='CALC E'!D63),'CALC EFRF'!$I$2:$I$74)</f>
        <v>8.32</v>
      </c>
      <c r="T63" s="25" cm="1">
        <f t="array" ref="T63">_xlfn.XLOOKUP(1, ('CALC EFRF'!$C$2:$C$74='CALC E'!C63)*('CALC EFRF'!$D$2:$D$74='CALC E'!D63),'CALC EFRF'!$J$2:$J$74)</f>
        <v>401.27519569826086</v>
      </c>
      <c r="U63" s="43">
        <f>ROUND(E63*S63,setup!$G$2)</f>
        <v>9226.8799999999992</v>
      </c>
      <c r="V63" s="43">
        <f>IF(setup!$E$2,'CALC E'!U63,'CALC E'!U63/'CALC E'!Q63)</f>
        <v>9226.8799999999992</v>
      </c>
      <c r="W63" s="42">
        <f>ROUND(SQRT(R63^2+T63^2),setup!$G$2)</f>
        <v>433.69</v>
      </c>
      <c r="X63" s="50">
        <f t="shared" si="1"/>
        <v>16012847275510.252</v>
      </c>
    </row>
    <row r="64" spans="1:24" x14ac:dyDescent="0.15">
      <c r="A64" s="7">
        <f>area!A64</f>
        <v>63</v>
      </c>
      <c r="B64" s="7" t="str">
        <f>area!B64</f>
        <v>T7</v>
      </c>
      <c r="C64" s="7" t="str">
        <f>area!C64</f>
        <v>FPc</v>
      </c>
      <c r="D64" s="7" t="str">
        <f>area!D64</f>
        <v>CP_a</v>
      </c>
      <c r="E64" s="7">
        <f>area!E64</f>
        <v>1109.0723820441096</v>
      </c>
      <c r="F64" s="7">
        <f>area!F64</f>
        <v>1109.0723820441096</v>
      </c>
      <c r="G64" s="7" t="str">
        <f>area!G64</f>
        <v>normal</v>
      </c>
      <c r="H64" s="7">
        <f>area!H64</f>
        <v>0</v>
      </c>
      <c r="I64" s="7">
        <f>area!I64</f>
        <v>0</v>
      </c>
      <c r="J64" s="7">
        <f>area!J64</f>
        <v>0</v>
      </c>
      <c r="K64" s="7" t="str">
        <f>area!K64</f>
        <v>DF</v>
      </c>
      <c r="L64" s="7" t="str">
        <f>area!L64</f>
        <v>51-Plantations commercial</v>
      </c>
      <c r="M64" s="7" t="str">
        <f>area!M64</f>
        <v>72-Cropland_annual</v>
      </c>
      <c r="N64" s="7">
        <f>VLOOKUP('CALC E'!B64,time!$A$2:$D$9,2,FALSE)</f>
        <v>2023</v>
      </c>
      <c r="O64" s="7">
        <f>VLOOKUP('CALC E'!B64,time!$A$2:$D$9,3,FALSE)</f>
        <v>2023</v>
      </c>
      <c r="P64" s="7" t="str">
        <f>VLOOKUP('CALC E'!B64,time!$A$2:$D$9,4,FALSE)</f>
        <v>MON2</v>
      </c>
      <c r="Q64" s="7">
        <f t="shared" si="0"/>
        <v>1</v>
      </c>
      <c r="R64" s="41">
        <f>ROUND(_xlfn.T.INV.2T(1 - setup!$F$2, 10000)*F64/E64*100,setup!$G$2)</f>
        <v>164.5</v>
      </c>
      <c r="S64" s="23" cm="1">
        <f t="array" ref="S64">_xlfn.XLOOKUP(1, ('CALC EFRF'!$C$2:$C$74='CALC E'!C64)*('CALC EFRF'!$D$2:$D$74='CALC E'!D64),'CALC EFRF'!$I$2:$I$74)</f>
        <v>191.47</v>
      </c>
      <c r="T64" s="25" cm="1">
        <f t="array" ref="T64">_xlfn.XLOOKUP(1, ('CALC EFRF'!$C$2:$C$74='CALC E'!C64)*('CALC EFRF'!$D$2:$D$74='CALC E'!D64),'CALC EFRF'!$J$2:$J$74)</f>
        <v>39.412494342012806</v>
      </c>
      <c r="U64" s="43">
        <f>ROUND(E64*S64,setup!$G$2)</f>
        <v>212354.09</v>
      </c>
      <c r="V64" s="43">
        <f>IF(setup!$E$2,'CALC E'!U64,'CALC E'!U64/'CALC E'!Q64)</f>
        <v>212354.09</v>
      </c>
      <c r="W64" s="42">
        <f>ROUND(SQRT(R64^2+T64^2),setup!$G$2)</f>
        <v>169.16</v>
      </c>
      <c r="X64" s="50">
        <f t="shared" si="1"/>
        <v>1290376998683127</v>
      </c>
    </row>
    <row r="65" spans="1:24" x14ac:dyDescent="0.15">
      <c r="A65" s="7">
        <f>area!A65</f>
        <v>64</v>
      </c>
      <c r="B65" s="7" t="str">
        <f>area!B65</f>
        <v>T7</v>
      </c>
      <c r="C65" s="7" t="str">
        <f>area!C65</f>
        <v>FPc</v>
      </c>
      <c r="D65" s="7" t="str">
        <f>area!D65</f>
        <v>GL</v>
      </c>
      <c r="E65" s="7">
        <f>area!E65</f>
        <v>3695.8970604781998</v>
      </c>
      <c r="F65" s="7">
        <f>area!F65</f>
        <v>2612.5239606774985</v>
      </c>
      <c r="G65" s="7" t="str">
        <f>area!G65</f>
        <v>normal</v>
      </c>
      <c r="H65" s="7">
        <f>area!H65</f>
        <v>0</v>
      </c>
      <c r="I65" s="7">
        <f>area!I65</f>
        <v>0</v>
      </c>
      <c r="J65" s="7">
        <f>area!J65</f>
        <v>0</v>
      </c>
      <c r="K65" s="7" t="str">
        <f>area!K65</f>
        <v>DF</v>
      </c>
      <c r="L65" s="7" t="str">
        <f>area!L65</f>
        <v>51-Plantations commercial</v>
      </c>
      <c r="M65" s="7" t="str">
        <f>area!M65</f>
        <v>80-Grassland</v>
      </c>
      <c r="N65" s="7">
        <f>VLOOKUP('CALC E'!B65,time!$A$2:$D$9,2,FALSE)</f>
        <v>2023</v>
      </c>
      <c r="O65" s="7">
        <f>VLOOKUP('CALC E'!B65,time!$A$2:$D$9,3,FALSE)</f>
        <v>2023</v>
      </c>
      <c r="P65" s="7" t="str">
        <f>VLOOKUP('CALC E'!B65,time!$A$2:$D$9,4,FALSE)</f>
        <v>MON2</v>
      </c>
      <c r="Q65" s="7">
        <f t="shared" si="0"/>
        <v>1</v>
      </c>
      <c r="R65" s="41">
        <f>ROUND(_xlfn.T.INV.2T(1 - setup!$F$2, 10000)*F65/E65*100,setup!$G$2)</f>
        <v>116.28</v>
      </c>
      <c r="S65" s="23" cm="1">
        <f t="array" ref="S65">_xlfn.XLOOKUP(1, ('CALC EFRF'!$C$2:$C$74='CALC E'!C65)*('CALC EFRF'!$D$2:$D$74='CALC E'!D65),'CALC EFRF'!$I$2:$I$74)</f>
        <v>178.86</v>
      </c>
      <c r="T65" s="25" cm="1">
        <f t="array" ref="T65">_xlfn.XLOOKUP(1, ('CALC EFRF'!$C$2:$C$74='CALC E'!C65)*('CALC EFRF'!$D$2:$D$74='CALC E'!D65),'CALC EFRF'!$J$2:$J$74)</f>
        <v>42.649608790315959</v>
      </c>
      <c r="U65" s="43">
        <f>ROUND(E65*S65,setup!$G$2)</f>
        <v>661048.15</v>
      </c>
      <c r="V65" s="43">
        <f>IF(setup!$E$2,'CALC E'!U65,'CALC E'!U65/'CALC E'!Q65)</f>
        <v>661048.15</v>
      </c>
      <c r="W65" s="42">
        <f>ROUND(SQRT(R65^2+T65^2),setup!$G$2)</f>
        <v>123.85</v>
      </c>
      <c r="X65" s="50">
        <f t="shared" si="1"/>
        <v>6702830083093433</v>
      </c>
    </row>
    <row r="66" spans="1:24" x14ac:dyDescent="0.15">
      <c r="A66" s="7">
        <f>area!A66</f>
        <v>65</v>
      </c>
      <c r="B66" s="7" t="str">
        <f>area!B66</f>
        <v>T7</v>
      </c>
      <c r="C66" s="7" t="str">
        <f>area!C66</f>
        <v>FPnc</v>
      </c>
      <c r="D66" s="7" t="str">
        <f>area!D66</f>
        <v>CP_a</v>
      </c>
      <c r="E66" s="7">
        <f>area!E66</f>
        <v>1886.3605240410589</v>
      </c>
      <c r="F66" s="7">
        <f>area!F66</f>
        <v>1886.4137058480558</v>
      </c>
      <c r="G66" s="7" t="str">
        <f>area!G66</f>
        <v>normal</v>
      </c>
      <c r="H66" s="7">
        <f>area!H66</f>
        <v>0</v>
      </c>
      <c r="I66" s="7">
        <f>area!I66</f>
        <v>0</v>
      </c>
      <c r="J66" s="7">
        <f>area!J66</f>
        <v>0</v>
      </c>
      <c r="K66" s="7" t="str">
        <f>area!K66</f>
        <v>DF</v>
      </c>
      <c r="L66" s="7" t="str">
        <f>area!L66</f>
        <v>52-Plantations non commercial</v>
      </c>
      <c r="M66" s="7" t="str">
        <f>area!M66</f>
        <v>72-Cropland_annual</v>
      </c>
      <c r="N66" s="7">
        <f>VLOOKUP('CALC E'!B66,time!$A$2:$D$9,2,FALSE)</f>
        <v>2023</v>
      </c>
      <c r="O66" s="7">
        <f>VLOOKUP('CALC E'!B66,time!$A$2:$D$9,3,FALSE)</f>
        <v>2023</v>
      </c>
      <c r="P66" s="7" t="str">
        <f>VLOOKUP('CALC E'!B66,time!$A$2:$D$9,4,FALSE)</f>
        <v>MON2</v>
      </c>
      <c r="Q66" s="7">
        <f t="shared" si="0"/>
        <v>1</v>
      </c>
      <c r="R66" s="41">
        <f>ROUND(_xlfn.T.INV.2T(1 - setup!$F$2, 10000)*F66/E66*100,setup!$G$2)</f>
        <v>164.51</v>
      </c>
      <c r="S66" s="23" cm="1">
        <f t="array" ref="S66">_xlfn.XLOOKUP(1, ('CALC EFRF'!$C$2:$C$74='CALC E'!C66)*('CALC EFRF'!$D$2:$D$74='CALC E'!D66),'CALC EFRF'!$I$2:$I$74)</f>
        <v>191.47</v>
      </c>
      <c r="T66" s="25" cm="1">
        <f t="array" ref="T66">_xlfn.XLOOKUP(1, ('CALC EFRF'!$C$2:$C$74='CALC E'!C66)*('CALC EFRF'!$D$2:$D$74='CALC E'!D66),'CALC EFRF'!$J$2:$J$74)</f>
        <v>39.412494342012806</v>
      </c>
      <c r="U66" s="43">
        <f>ROUND(E66*S66,setup!$G$2)</f>
        <v>361181.45</v>
      </c>
      <c r="V66" s="43">
        <f>IF(setup!$E$2,'CALC E'!U66,'CALC E'!U66/'CALC E'!Q66)</f>
        <v>361181.45</v>
      </c>
      <c r="W66" s="42">
        <f>ROUND(SQRT(R66^2+T66^2),setup!$G$2)</f>
        <v>169.17</v>
      </c>
      <c r="X66" s="50">
        <f t="shared" si="1"/>
        <v>3733340253688435</v>
      </c>
    </row>
    <row r="67" spans="1:24" x14ac:dyDescent="0.15">
      <c r="A67" s="7">
        <f>area!A67</f>
        <v>66</v>
      </c>
      <c r="B67" s="7" t="str">
        <f>area!B67</f>
        <v>T8</v>
      </c>
      <c r="C67" s="7" t="str">
        <f>area!C67</f>
        <v>THF</v>
      </c>
      <c r="D67" s="7" t="str">
        <f>area!D67</f>
        <v>CP_p</v>
      </c>
      <c r="E67" s="7">
        <f>area!E67</f>
        <v>600</v>
      </c>
      <c r="F67" s="7">
        <f>area!F67</f>
        <v>599.577</v>
      </c>
      <c r="G67" s="7" t="str">
        <f>area!G67</f>
        <v>normal</v>
      </c>
      <c r="H67" s="7">
        <f>area!H67</f>
        <v>0</v>
      </c>
      <c r="I67" s="7">
        <f>area!I67</f>
        <v>0</v>
      </c>
      <c r="J67" s="7">
        <f>area!J67</f>
        <v>0</v>
      </c>
      <c r="K67" s="7" t="str">
        <f>area!K67</f>
        <v>DF</v>
      </c>
      <c r="L67" s="7" t="str">
        <f>area!L67</f>
        <v>10-Tropical High Forest</v>
      </c>
      <c r="M67" s="7" t="str">
        <f>area!M67</f>
        <v>71-Cropland_perennial</v>
      </c>
      <c r="N67" s="7">
        <f>VLOOKUP('CALC E'!B67,time!$A$2:$D$9,2,FALSE)</f>
        <v>2024</v>
      </c>
      <c r="O67" s="7">
        <f>VLOOKUP('CALC E'!B67,time!$A$2:$D$9,3,FALSE)</f>
        <v>2024</v>
      </c>
      <c r="P67" s="7" t="str">
        <f>VLOOKUP('CALC E'!B67,time!$A$2:$D$9,4,FALSE)</f>
        <v>MON2</v>
      </c>
      <c r="Q67" s="7">
        <f t="shared" ref="Q67:Q74" si="2">O67-N67+1</f>
        <v>1</v>
      </c>
      <c r="R67" s="41">
        <f>ROUND(_xlfn.T.INV.2T(1 - setup!$F$2, 10000)*F67/E67*100,setup!$G$2)</f>
        <v>164.38</v>
      </c>
      <c r="S67" s="23" cm="1">
        <f t="array" ref="S67">_xlfn.XLOOKUP(1, ('CALC EFRF'!$C$2:$C$74='CALC E'!C67)*('CALC EFRF'!$D$2:$D$74='CALC E'!D67),'CALC EFRF'!$I$2:$I$74)</f>
        <v>479.38</v>
      </c>
      <c r="T67" s="25" cm="1">
        <f t="array" ref="T67">_xlfn.XLOOKUP(1, ('CALC EFRF'!$C$2:$C$74='CALC E'!C67)*('CALC EFRF'!$D$2:$D$74='CALC E'!D67),'CALC EFRF'!$J$2:$J$74)</f>
        <v>33.86395383490369</v>
      </c>
      <c r="U67" s="43">
        <f>ROUND(E67*S67,setup!$G$2)</f>
        <v>287628</v>
      </c>
      <c r="V67" s="43">
        <f>IF(setup!$E$2,'CALC E'!U67,'CALC E'!U67/'CALC E'!Q67)</f>
        <v>287628</v>
      </c>
      <c r="W67" s="42">
        <f>ROUND(SQRT(R67^2+T67^2),setup!$G$2)</f>
        <v>167.83</v>
      </c>
      <c r="X67" s="50">
        <f t="shared" ref="X67:X74" si="3">(W67*V67)^2</f>
        <v>2330244609747300.5</v>
      </c>
    </row>
    <row r="68" spans="1:24" x14ac:dyDescent="0.15">
      <c r="A68" s="7">
        <f>area!A68</f>
        <v>67</v>
      </c>
      <c r="B68" s="7" t="str">
        <f>area!B68</f>
        <v>T8</v>
      </c>
      <c r="C68" s="7" t="str">
        <f>area!C68</f>
        <v>THF_log</v>
      </c>
      <c r="D68" s="7" t="str">
        <f>area!D68</f>
        <v>THF_log_deg</v>
      </c>
      <c r="E68" s="7">
        <f>area!E68</f>
        <v>7749</v>
      </c>
      <c r="F68" s="7">
        <f>area!F68</f>
        <v>4466.88</v>
      </c>
      <c r="G68" s="7" t="str">
        <f>area!G68</f>
        <v>normal</v>
      </c>
      <c r="H68" s="7">
        <f>area!H68</f>
        <v>0</v>
      </c>
      <c r="I68" s="7">
        <f>area!I68</f>
        <v>0</v>
      </c>
      <c r="J68" s="7">
        <f>area!J68</f>
        <v>0</v>
      </c>
      <c r="K68" s="7" t="str">
        <f>area!K68</f>
        <v>DG</v>
      </c>
      <c r="L68" s="7" t="str">
        <f>area!L68</f>
        <v>12-Tropical High Forest</v>
      </c>
      <c r="M68" s="7" t="str">
        <f>area!M68</f>
        <v>22-Tropical High Forest Degraded by logging</v>
      </c>
      <c r="N68" s="7">
        <f>VLOOKUP('CALC E'!B68,time!$A$2:$D$9,2,FALSE)</f>
        <v>2024</v>
      </c>
      <c r="O68" s="7">
        <f>VLOOKUP('CALC E'!B68,time!$A$2:$D$9,3,FALSE)</f>
        <v>2024</v>
      </c>
      <c r="P68" s="7" t="str">
        <f>VLOOKUP('CALC E'!B68,time!$A$2:$D$9,4,FALSE)</f>
        <v>MON2</v>
      </c>
      <c r="Q68" s="7">
        <f t="shared" si="2"/>
        <v>1</v>
      </c>
      <c r="R68" s="41">
        <f>ROUND(_xlfn.T.INV.2T(1 - setup!$F$2, 10000)*F68/E68*100,setup!$G$2)</f>
        <v>94.83</v>
      </c>
      <c r="S68" s="23" cm="1">
        <f t="array" ref="S68">_xlfn.XLOOKUP(1, ('CALC EFRF'!$C$2:$C$74='CALC E'!C68)*('CALC EFRF'!$D$2:$D$74='CALC E'!D68),'CALC EFRF'!$I$2:$I$74)</f>
        <v>53.13</v>
      </c>
      <c r="T68" s="25" cm="1">
        <f t="array" ref="T68">_xlfn.XLOOKUP(1, ('CALC EFRF'!$C$2:$C$74='CALC E'!C68)*('CALC EFRF'!$D$2:$D$74='CALC E'!D68),'CALC EFRF'!$J$2:$J$74)</f>
        <v>430.12794533918657</v>
      </c>
      <c r="U68" s="43">
        <f>ROUND(E68*S68,setup!$G$2)</f>
        <v>411704.37</v>
      </c>
      <c r="V68" s="43">
        <f>IF(setup!$E$2,'CALC E'!U68,'CALC E'!U68/'CALC E'!Q68)</f>
        <v>411704.37</v>
      </c>
      <c r="W68" s="42">
        <f>ROUND(SQRT(R68^2+T68^2),setup!$G$2)</f>
        <v>440.46</v>
      </c>
      <c r="X68" s="50">
        <f t="shared" si="3"/>
        <v>3.288394419440384E+16</v>
      </c>
    </row>
    <row r="69" spans="1:24" x14ac:dyDescent="0.15">
      <c r="A69" s="7">
        <f>area!A69</f>
        <v>68</v>
      </c>
      <c r="B69" s="7" t="str">
        <f>area!B69</f>
        <v>T8</v>
      </c>
      <c r="C69" s="7" t="str">
        <f>area!C69</f>
        <v>WD</v>
      </c>
      <c r="D69" s="7" t="str">
        <f>area!D69</f>
        <v>CP_p</v>
      </c>
      <c r="E69" s="7">
        <f>area!E69</f>
        <v>6141</v>
      </c>
      <c r="F69" s="7">
        <f>area!F69</f>
        <v>3929</v>
      </c>
      <c r="G69" s="7" t="str">
        <f>area!G69</f>
        <v>normal</v>
      </c>
      <c r="H69" s="7">
        <f>area!H69</f>
        <v>0</v>
      </c>
      <c r="I69" s="7">
        <f>area!I69</f>
        <v>0</v>
      </c>
      <c r="J69" s="7">
        <f>area!J69</f>
        <v>0</v>
      </c>
      <c r="K69" s="7" t="str">
        <f>area!K69</f>
        <v>DF</v>
      </c>
      <c r="L69" s="7" t="str">
        <f>area!L69</f>
        <v>30-Woodlands</v>
      </c>
      <c r="M69" s="7" t="str">
        <f>area!M69</f>
        <v>71-Cropland_perennial</v>
      </c>
      <c r="N69" s="7">
        <f>VLOOKUP('CALC E'!B69,time!$A$2:$D$9,2,FALSE)</f>
        <v>2024</v>
      </c>
      <c r="O69" s="7">
        <f>VLOOKUP('CALC E'!B69,time!$A$2:$D$9,3,FALSE)</f>
        <v>2024</v>
      </c>
      <c r="P69" s="7" t="str">
        <f>VLOOKUP('CALC E'!B69,time!$A$2:$D$9,4,FALSE)</f>
        <v>MON2</v>
      </c>
      <c r="Q69" s="7">
        <f t="shared" si="2"/>
        <v>1</v>
      </c>
      <c r="R69" s="41">
        <f>ROUND(_xlfn.T.INV.2T(1 - setup!$F$2, 10000)*F69/E69*100,setup!$G$2)</f>
        <v>105.25</v>
      </c>
      <c r="S69" s="23" cm="1">
        <f t="array" ref="S69">_xlfn.XLOOKUP(1, ('CALC EFRF'!$C$2:$C$74='CALC E'!C69)*('CALC EFRF'!$D$2:$D$74='CALC E'!D69),'CALC EFRF'!$I$2:$I$74)</f>
        <v>28.31</v>
      </c>
      <c r="T69" s="25" cm="1">
        <f t="array" ref="T69">_xlfn.XLOOKUP(1, ('CALC EFRF'!$C$2:$C$74='CALC E'!C69)*('CALC EFRF'!$D$2:$D$74='CALC E'!D69),'CALC EFRF'!$J$2:$J$74)</f>
        <v>91.474742071213043</v>
      </c>
      <c r="U69" s="43">
        <f>ROUND(E69*S69,setup!$G$2)</f>
        <v>173851.71</v>
      </c>
      <c r="V69" s="43">
        <f>IF(setup!$E$2,'CALC E'!U69,'CALC E'!U69/'CALC E'!Q69)</f>
        <v>173851.71</v>
      </c>
      <c r="W69" s="42">
        <f>ROUND(SQRT(R69^2+T69^2),setup!$G$2)</f>
        <v>139.44999999999999</v>
      </c>
      <c r="X69" s="50">
        <f t="shared" si="3"/>
        <v>587753157227907.5</v>
      </c>
    </row>
    <row r="70" spans="1:24" x14ac:dyDescent="0.15">
      <c r="A70" s="7">
        <f>area!A70</f>
        <v>69</v>
      </c>
      <c r="B70" s="7" t="str">
        <f>area!B70</f>
        <v>T8</v>
      </c>
      <c r="C70" s="7" t="str">
        <f>area!C70</f>
        <v>WD</v>
      </c>
      <c r="D70" s="7" t="str">
        <f>area!D70</f>
        <v>GL</v>
      </c>
      <c r="E70" s="7">
        <f>area!E70</f>
        <v>15958</v>
      </c>
      <c r="F70" s="7">
        <f>area!F70</f>
        <v>6971.08</v>
      </c>
      <c r="G70" s="7" t="str">
        <f>area!G70</f>
        <v>normal</v>
      </c>
      <c r="H70" s="7">
        <f>area!H70</f>
        <v>0</v>
      </c>
      <c r="I70" s="7">
        <f>area!I70</f>
        <v>0</v>
      </c>
      <c r="J70" s="7">
        <f>area!J70</f>
        <v>0</v>
      </c>
      <c r="K70" s="7" t="str">
        <f>area!K70</f>
        <v>DF</v>
      </c>
      <c r="L70" s="7" t="str">
        <f>area!L70</f>
        <v>30-Woodlands</v>
      </c>
      <c r="M70" s="7" t="str">
        <f>area!M70</f>
        <v>80-Grassland</v>
      </c>
      <c r="N70" s="7">
        <f>VLOOKUP('CALC E'!B70,time!$A$2:$D$9,2,FALSE)</f>
        <v>2024</v>
      </c>
      <c r="O70" s="7">
        <f>VLOOKUP('CALC E'!B70,time!$A$2:$D$9,3,FALSE)</f>
        <v>2024</v>
      </c>
      <c r="P70" s="7" t="str">
        <f>VLOOKUP('CALC E'!B70,time!$A$2:$D$9,4,FALSE)</f>
        <v>MON2</v>
      </c>
      <c r="Q70" s="7">
        <f t="shared" si="2"/>
        <v>1</v>
      </c>
      <c r="R70" s="41">
        <f>ROUND(_xlfn.T.INV.2T(1 - setup!$F$2, 10000)*F70/E70*100,setup!$G$2)</f>
        <v>71.86</v>
      </c>
      <c r="S70" s="23" cm="1">
        <f t="array" ref="S70">_xlfn.XLOOKUP(1, ('CALC EFRF'!$C$2:$C$74='CALC E'!C70)*('CALC EFRF'!$D$2:$D$74='CALC E'!D70),'CALC EFRF'!$I$2:$I$74)</f>
        <v>11</v>
      </c>
      <c r="T70" s="25" cm="1">
        <f t="array" ref="T70">_xlfn.XLOOKUP(1, ('CALC EFRF'!$C$2:$C$74='CALC E'!C70)*('CALC EFRF'!$D$2:$D$74='CALC E'!D70),'CALC EFRF'!$J$2:$J$74)</f>
        <v>283.61076563087113</v>
      </c>
      <c r="U70" s="43">
        <f>ROUND(E70*S70,setup!$G$2)</f>
        <v>175538</v>
      </c>
      <c r="V70" s="43">
        <f>IF(setup!$E$2,'CALC E'!U70,'CALC E'!U70/'CALC E'!Q70)</f>
        <v>175538</v>
      </c>
      <c r="W70" s="42">
        <f>ROUND(SQRT(R70^2+T70^2),setup!$G$2)</f>
        <v>292.57</v>
      </c>
      <c r="X70" s="50">
        <f t="shared" si="3"/>
        <v>2637557129342544.5</v>
      </c>
    </row>
    <row r="71" spans="1:24" x14ac:dyDescent="0.15">
      <c r="A71" s="7">
        <f>area!A71</f>
        <v>70</v>
      </c>
      <c r="B71" s="7" t="str">
        <f>area!B71</f>
        <v>T8</v>
      </c>
      <c r="C71" s="7" t="str">
        <f>area!C71</f>
        <v>WD</v>
      </c>
      <c r="D71" s="7" t="str">
        <f>area!D71</f>
        <v>Set</v>
      </c>
      <c r="E71" s="7">
        <f>area!E71</f>
        <v>600</v>
      </c>
      <c r="F71" s="7">
        <f>area!F71</f>
        <v>599.97699999999998</v>
      </c>
      <c r="G71" s="7" t="str">
        <f>area!G71</f>
        <v>normal</v>
      </c>
      <c r="H71" s="7">
        <f>area!H71</f>
        <v>0</v>
      </c>
      <c r="I71" s="7">
        <f>area!I71</f>
        <v>0</v>
      </c>
      <c r="J71" s="7">
        <f>area!J71</f>
        <v>0</v>
      </c>
      <c r="K71" s="7" t="str">
        <f>area!K71</f>
        <v>DF</v>
      </c>
      <c r="L71" s="7" t="str">
        <f>area!L71</f>
        <v>30-Woodlands</v>
      </c>
      <c r="M71" s="7" t="str">
        <f>area!M71</f>
        <v>90-Settlement</v>
      </c>
      <c r="N71" s="7">
        <f>VLOOKUP('CALC E'!B71,time!$A$2:$D$9,2,FALSE)</f>
        <v>2024</v>
      </c>
      <c r="O71" s="7">
        <f>VLOOKUP('CALC E'!B71,time!$A$2:$D$9,3,FALSE)</f>
        <v>2024</v>
      </c>
      <c r="P71" s="7" t="str">
        <f>VLOOKUP('CALC E'!B71,time!$A$2:$D$9,4,FALSE)</f>
        <v>MON2</v>
      </c>
      <c r="Q71" s="7">
        <f t="shared" si="2"/>
        <v>1</v>
      </c>
      <c r="R71" s="41">
        <f>ROUND(_xlfn.T.INV.2T(1 - setup!$F$2, 10000)*F71/E71*100,setup!$G$2)</f>
        <v>164.49</v>
      </c>
      <c r="S71" s="23" cm="1">
        <f t="array" ref="S71">_xlfn.XLOOKUP(1, ('CALC EFRF'!$C$2:$C$74='CALC E'!C71)*('CALC EFRF'!$D$2:$D$74='CALC E'!D71),'CALC EFRF'!$I$2:$I$74)</f>
        <v>40.85</v>
      </c>
      <c r="T71" s="25" cm="1">
        <f t="array" ref="T71">_xlfn.XLOOKUP(1, ('CALC EFRF'!$C$2:$C$74='CALC E'!C71)*('CALC EFRF'!$D$2:$D$74='CALC E'!D71),'CALC EFRF'!$J$2:$J$74)</f>
        <v>61.810000000000009</v>
      </c>
      <c r="U71" s="43">
        <f>ROUND(E71*S71,setup!$G$2)</f>
        <v>24510</v>
      </c>
      <c r="V71" s="43">
        <f>IF(setup!$E$2,'CALC E'!U71,'CALC E'!U71/'CALC E'!Q71)</f>
        <v>24510</v>
      </c>
      <c r="W71" s="42">
        <f>ROUND(SQRT(R71^2+T71^2),setup!$G$2)</f>
        <v>175.72</v>
      </c>
      <c r="X71" s="50">
        <f t="shared" si="3"/>
        <v>18549363491367.84</v>
      </c>
    </row>
    <row r="72" spans="1:24" x14ac:dyDescent="0.15">
      <c r="A72" s="7">
        <f>area!A72</f>
        <v>71</v>
      </c>
      <c r="B72" s="7" t="str">
        <f>area!B72</f>
        <v>T8</v>
      </c>
      <c r="C72" s="7" t="str">
        <f>area!C72</f>
        <v>WD_log</v>
      </c>
      <c r="D72" s="7" t="str">
        <f>area!D72</f>
        <v>WD_log_deg</v>
      </c>
      <c r="E72" s="7">
        <f>area!E72</f>
        <v>2806.3925051628653</v>
      </c>
      <c r="F72" s="7">
        <f>area!F72</f>
        <v>2286.73</v>
      </c>
      <c r="G72" s="7" t="str">
        <f>area!G72</f>
        <v>normal</v>
      </c>
      <c r="H72" s="7">
        <f>area!H72</f>
        <v>0</v>
      </c>
      <c r="I72" s="7">
        <f>area!I72</f>
        <v>0</v>
      </c>
      <c r="J72" s="7">
        <f>area!J72</f>
        <v>0</v>
      </c>
      <c r="K72" s="7" t="str">
        <f>area!K72</f>
        <v>DG</v>
      </c>
      <c r="L72" s="7" t="str">
        <f>area!L72</f>
        <v>32-Woodlands</v>
      </c>
      <c r="M72" s="7" t="str">
        <f>area!M72</f>
        <v>42-Woodlands_Degraded_by_logging</v>
      </c>
      <c r="N72" s="7">
        <f>VLOOKUP('CALC E'!B72,time!$A$2:$D$9,2,FALSE)</f>
        <v>2024</v>
      </c>
      <c r="O72" s="7">
        <f>VLOOKUP('CALC E'!B72,time!$A$2:$D$9,3,FALSE)</f>
        <v>2024</v>
      </c>
      <c r="P72" s="7" t="str">
        <f>VLOOKUP('CALC E'!B72,time!$A$2:$D$9,4,FALSE)</f>
        <v>MON2</v>
      </c>
      <c r="Q72" s="7">
        <f t="shared" si="2"/>
        <v>1</v>
      </c>
      <c r="R72" s="41">
        <f>ROUND(_xlfn.T.INV.2T(1 - setup!$F$2, 10000)*F72/E72*100,setup!$G$2)</f>
        <v>134.04</v>
      </c>
      <c r="S72" s="23" cm="1">
        <f t="array" ref="S72">_xlfn.XLOOKUP(1, ('CALC EFRF'!$C$2:$C$74='CALC E'!C72)*('CALC EFRF'!$D$2:$D$74='CALC E'!D72),'CALC EFRF'!$I$2:$I$74)</f>
        <v>4.4000000000000004</v>
      </c>
      <c r="T72" s="25" cm="1">
        <f t="array" ref="T72">_xlfn.XLOOKUP(1, ('CALC EFRF'!$C$2:$C$74='CALC E'!C72)*('CALC EFRF'!$D$2:$D$74='CALC E'!D72),'CALC EFRF'!$J$2:$J$74)</f>
        <v>780.42477636742024</v>
      </c>
      <c r="U72" s="43">
        <f>ROUND(E72*S72,setup!$G$2)</f>
        <v>12348.13</v>
      </c>
      <c r="V72" s="43">
        <f>IF(setup!$E$2,'CALC E'!U72,'CALC E'!U72/'CALC E'!Q72)</f>
        <v>12348.13</v>
      </c>
      <c r="W72" s="42">
        <f>ROUND(SQRT(R72^2+T72^2),setup!$G$2)</f>
        <v>791.85</v>
      </c>
      <c r="X72" s="50">
        <f t="shared" si="3"/>
        <v>95606677994976.078</v>
      </c>
    </row>
    <row r="73" spans="1:24" x14ac:dyDescent="0.15">
      <c r="A73" s="7">
        <f>area!A73</f>
        <v>72</v>
      </c>
      <c r="B73" s="7" t="str">
        <f>area!B73</f>
        <v>T8</v>
      </c>
      <c r="C73" s="7" t="str">
        <f>area!C73</f>
        <v>WD_other</v>
      </c>
      <c r="D73" s="7" t="str">
        <f>area!D73</f>
        <v>WD_other_deg</v>
      </c>
      <c r="E73" s="7">
        <f>area!E73</f>
        <v>3743.100845468417</v>
      </c>
      <c r="F73" s="7">
        <f>area!F73</f>
        <v>3743.09</v>
      </c>
      <c r="G73" s="7" t="str">
        <f>area!G73</f>
        <v>normal</v>
      </c>
      <c r="H73" s="7">
        <f>area!H73</f>
        <v>0</v>
      </c>
      <c r="I73" s="7">
        <f>area!I73</f>
        <v>0</v>
      </c>
      <c r="J73" s="7">
        <f>area!J73</f>
        <v>0</v>
      </c>
      <c r="K73" s="7" t="str">
        <f>area!K73</f>
        <v>DG</v>
      </c>
      <c r="L73" s="7" t="str">
        <f>area!L73</f>
        <v>34-Woodlands</v>
      </c>
      <c r="M73" s="7" t="str">
        <f>area!M73</f>
        <v>44-Woodlands_Degraded_by_other</v>
      </c>
      <c r="N73" s="7">
        <f>VLOOKUP('CALC E'!B73,time!$A$2:$D$9,2,FALSE)</f>
        <v>2024</v>
      </c>
      <c r="O73" s="7">
        <f>VLOOKUP('CALC E'!B73,time!$A$2:$D$9,3,FALSE)</f>
        <v>2024</v>
      </c>
      <c r="P73" s="7" t="str">
        <f>VLOOKUP('CALC E'!B73,time!$A$2:$D$9,4,FALSE)</f>
        <v>MON2</v>
      </c>
      <c r="Q73" s="7">
        <f t="shared" si="2"/>
        <v>1</v>
      </c>
      <c r="R73" s="41">
        <f>ROUND(_xlfn.T.INV.2T(1 - setup!$F$2, 10000)*F73/E73*100,setup!$G$2)</f>
        <v>164.5</v>
      </c>
      <c r="S73" s="23" cm="1">
        <f t="array" ref="S73">_xlfn.XLOOKUP(1, ('CALC EFRF'!$C$2:$C$74='CALC E'!C73)*('CALC EFRF'!$D$2:$D$74='CALC E'!D73),'CALC EFRF'!$I$2:$I$74)</f>
        <v>8.32</v>
      </c>
      <c r="T73" s="25" cm="1">
        <f t="array" ref="T73">_xlfn.XLOOKUP(1, ('CALC EFRF'!$C$2:$C$74='CALC E'!C73)*('CALC EFRF'!$D$2:$D$74='CALC E'!D73),'CALC EFRF'!$J$2:$J$74)</f>
        <v>401.27519569826086</v>
      </c>
      <c r="U73" s="43">
        <f>ROUND(E73*S73,setup!$G$2)</f>
        <v>31142.6</v>
      </c>
      <c r="V73" s="43">
        <f>IF(setup!$E$2,'CALC E'!U73,'CALC E'!U73/'CALC E'!Q73)</f>
        <v>31142.6</v>
      </c>
      <c r="W73" s="42">
        <f>ROUND(SQRT(R73^2+T73^2),setup!$G$2)</f>
        <v>433.68</v>
      </c>
      <c r="X73" s="50">
        <f t="shared" si="3"/>
        <v>182409949815180.75</v>
      </c>
    </row>
    <row r="74" spans="1:24" x14ac:dyDescent="0.15">
      <c r="A74" s="7">
        <f>area!A74</f>
        <v>73</v>
      </c>
      <c r="B74" s="7" t="str">
        <f>area!B74</f>
        <v>T8</v>
      </c>
      <c r="C74" s="7" t="str">
        <f>area!C74</f>
        <v>FPnc</v>
      </c>
      <c r="D74" s="7" t="str">
        <f>area!D74</f>
        <v>CP_p</v>
      </c>
      <c r="E74" s="7">
        <f>area!E74</f>
        <v>3406</v>
      </c>
      <c r="F74" s="7">
        <f>area!F74</f>
        <v>2363.0682912226885</v>
      </c>
      <c r="G74" s="7" t="str">
        <f>area!G74</f>
        <v>normal</v>
      </c>
      <c r="H74" s="7">
        <f>area!H74</f>
        <v>0</v>
      </c>
      <c r="I74" s="7">
        <f>area!I74</f>
        <v>0</v>
      </c>
      <c r="J74" s="7">
        <f>area!J74</f>
        <v>0</v>
      </c>
      <c r="K74" s="7" t="str">
        <f>area!K74</f>
        <v>DF</v>
      </c>
      <c r="L74" s="7" t="str">
        <f>area!L74</f>
        <v>52-Plantations non commercial</v>
      </c>
      <c r="M74" s="7" t="str">
        <f>area!M74</f>
        <v>71-Cropland_perennial</v>
      </c>
      <c r="N74" s="7">
        <f>VLOOKUP('CALC E'!B74,time!$A$2:$D$9,2,FALSE)</f>
        <v>2024</v>
      </c>
      <c r="O74" s="7">
        <f>VLOOKUP('CALC E'!B74,time!$A$2:$D$9,3,FALSE)</f>
        <v>2024</v>
      </c>
      <c r="P74" s="7" t="str">
        <f>VLOOKUP('CALC E'!B74,time!$A$2:$D$9,4,FALSE)</f>
        <v>MON2</v>
      </c>
      <c r="Q74" s="7">
        <f t="shared" si="2"/>
        <v>1</v>
      </c>
      <c r="R74" s="41">
        <f>ROUND(_xlfn.T.INV.2T(1 - setup!$F$2, 10000)*F74/E74*100,setup!$G$2)</f>
        <v>114.13</v>
      </c>
      <c r="S74" s="23" cm="1">
        <f t="array" ref="S74">_xlfn.XLOOKUP(1, ('CALC EFRF'!$C$2:$C$74='CALC E'!C74)*('CALC EFRF'!$D$2:$D$74='CALC E'!D74),'CALC EFRF'!$I$2:$I$74)</f>
        <v>196.17</v>
      </c>
      <c r="T74" s="25" cm="1">
        <f t="array" ref="T74">_xlfn.XLOOKUP(1, ('CALC EFRF'!$C$2:$C$74='CALC E'!C74)*('CALC EFRF'!$D$2:$D$74='CALC E'!D74),'CALC EFRF'!$J$2:$J$74)</f>
        <v>37.861635383355271</v>
      </c>
      <c r="U74" s="43">
        <f>ROUND(E74*S74,setup!$G$2)</f>
        <v>668155.02</v>
      </c>
      <c r="V74" s="43">
        <f>IF(setup!$E$2,'CALC E'!U74,'CALC E'!U74/'CALC E'!Q74)</f>
        <v>668155.02</v>
      </c>
      <c r="W74" s="42">
        <f>ROUND(SQRT(R74^2+T74^2),setup!$G$2)</f>
        <v>120.25</v>
      </c>
      <c r="X74" s="50">
        <f t="shared" si="3"/>
        <v>6455422052608030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BE0DE-3BD7-CD42-BEFB-73C01874F2B5}">
  <dimension ref="B3:O20"/>
  <sheetViews>
    <sheetView workbookViewId="0">
      <selection activeCell="E7" sqref="E7:E11"/>
    </sheetView>
  </sheetViews>
  <sheetFormatPr baseColWidth="10" defaultRowHeight="13" x14ac:dyDescent="0.15"/>
  <cols>
    <col min="2" max="2" width="13.1640625" bestFit="1" customWidth="1"/>
    <col min="3" max="3" width="14.1640625" bestFit="1" customWidth="1"/>
    <col min="4" max="4" width="11.33203125" bestFit="1" customWidth="1"/>
    <col min="5" max="5" width="13.1640625" bestFit="1" customWidth="1"/>
    <col min="6" max="6" width="24.5" bestFit="1" customWidth="1"/>
    <col min="7" max="7" width="15.5" bestFit="1" customWidth="1"/>
    <col min="9" max="9" width="12.6640625" bestFit="1" customWidth="1"/>
    <col min="15" max="15" width="12.33203125" bestFit="1" customWidth="1"/>
    <col min="17" max="17" width="17.33203125" bestFit="1" customWidth="1"/>
  </cols>
  <sheetData>
    <row r="3" spans="2:15" x14ac:dyDescent="0.15">
      <c r="B3" s="36" t="s">
        <v>39</v>
      </c>
      <c r="C3" s="36" t="s">
        <v>51</v>
      </c>
      <c r="D3" s="36" t="s">
        <v>155</v>
      </c>
      <c r="E3" t="s">
        <v>157</v>
      </c>
      <c r="F3" t="s">
        <v>159</v>
      </c>
      <c r="H3" t="s">
        <v>39</v>
      </c>
      <c r="I3" t="s">
        <v>51</v>
      </c>
      <c r="J3" t="s">
        <v>155</v>
      </c>
      <c r="K3" t="s">
        <v>157</v>
      </c>
      <c r="L3" t="s">
        <v>159</v>
      </c>
      <c r="M3" s="5" t="s">
        <v>141</v>
      </c>
      <c r="N3" s="5" t="s">
        <v>162</v>
      </c>
      <c r="O3" s="5" t="s">
        <v>163</v>
      </c>
    </row>
    <row r="4" spans="2:15" x14ac:dyDescent="0.15">
      <c r="B4" t="s">
        <v>48</v>
      </c>
      <c r="C4" t="s">
        <v>47</v>
      </c>
      <c r="D4">
        <v>1</v>
      </c>
      <c r="E4" s="49">
        <v>3850691.0965299997</v>
      </c>
      <c r="F4" s="50">
        <v>5.591540142928868E+16</v>
      </c>
      <c r="H4" t="s">
        <v>48</v>
      </c>
      <c r="I4" t="s">
        <v>47</v>
      </c>
      <c r="J4">
        <v>1</v>
      </c>
      <c r="K4">
        <v>3850691.0965299997</v>
      </c>
      <c r="L4">
        <v>5.591540142928868E+16</v>
      </c>
      <c r="M4">
        <f>SQRT(L4)/K4</f>
        <v>61.408295480587718</v>
      </c>
      <c r="N4">
        <f>K4*J4</f>
        <v>3850691.0965299997</v>
      </c>
      <c r="O4">
        <f>(N4*M4)^2</f>
        <v>5.591540142928868E+16</v>
      </c>
    </row>
    <row r="5" spans="2:15" x14ac:dyDescent="0.15">
      <c r="B5" t="s">
        <v>48</v>
      </c>
      <c r="C5" t="s">
        <v>49</v>
      </c>
      <c r="D5">
        <v>1</v>
      </c>
      <c r="E5" s="49">
        <v>1785446.3429500002</v>
      </c>
      <c r="F5" s="50">
        <v>4.5196124590761496E+16</v>
      </c>
      <c r="H5" t="s">
        <v>48</v>
      </c>
      <c r="I5" t="s">
        <v>49</v>
      </c>
      <c r="J5">
        <v>1</v>
      </c>
      <c r="K5">
        <v>1785446.3429500002</v>
      </c>
      <c r="L5">
        <v>4.5196124590761496E+16</v>
      </c>
      <c r="M5">
        <f t="shared" ref="M5:M11" si="0">SQRT(L5)/K5</f>
        <v>119.07039531202356</v>
      </c>
      <c r="N5">
        <f t="shared" ref="N5:N11" si="1">K5*J5</f>
        <v>1785446.3429500002</v>
      </c>
      <c r="O5">
        <f t="shared" ref="O5:O11" si="2">(N5*M5)^2</f>
        <v>4.5196124590761496E+16</v>
      </c>
    </row>
    <row r="6" spans="2:15" x14ac:dyDescent="0.15">
      <c r="B6" t="s">
        <v>117</v>
      </c>
      <c r="C6" t="s">
        <v>46</v>
      </c>
      <c r="D6">
        <v>1</v>
      </c>
      <c r="E6" s="49">
        <v>3712732.4519299995</v>
      </c>
      <c r="F6" s="50">
        <v>4.3212075302694992E+16</v>
      </c>
      <c r="H6" t="s">
        <v>117</v>
      </c>
      <c r="I6" t="s">
        <v>46</v>
      </c>
      <c r="J6">
        <v>1</v>
      </c>
      <c r="K6">
        <v>3712732.4519299995</v>
      </c>
      <c r="L6">
        <v>4.3212075302694992E+16</v>
      </c>
      <c r="M6">
        <f t="shared" si="0"/>
        <v>55.989798950945442</v>
      </c>
      <c r="N6">
        <f t="shared" si="1"/>
        <v>3712732.4519299995</v>
      </c>
      <c r="O6">
        <f t="shared" si="2"/>
        <v>4.3212075302694984E+16</v>
      </c>
    </row>
    <row r="7" spans="2:15" x14ac:dyDescent="0.15">
      <c r="B7" t="s">
        <v>41</v>
      </c>
      <c r="C7" t="s">
        <v>40</v>
      </c>
      <c r="D7">
        <v>1</v>
      </c>
      <c r="E7" s="49">
        <v>3487811.3934099996</v>
      </c>
      <c r="F7" s="50">
        <v>4.9229395129257064E+16</v>
      </c>
      <c r="H7" t="s">
        <v>41</v>
      </c>
      <c r="I7" t="s">
        <v>40</v>
      </c>
      <c r="J7">
        <v>1</v>
      </c>
      <c r="K7">
        <v>3487811.3934099996</v>
      </c>
      <c r="L7">
        <v>4.9229395129257064E+16</v>
      </c>
      <c r="M7">
        <f t="shared" si="0"/>
        <v>63.614959912051056</v>
      </c>
      <c r="N7">
        <f t="shared" si="1"/>
        <v>3487811.3934099996</v>
      </c>
      <c r="O7">
        <f t="shared" si="2"/>
        <v>4.9229395129257064E+16</v>
      </c>
    </row>
    <row r="8" spans="2:15" x14ac:dyDescent="0.15">
      <c r="B8" t="s">
        <v>41</v>
      </c>
      <c r="C8" t="s">
        <v>42</v>
      </c>
      <c r="D8">
        <v>1</v>
      </c>
      <c r="E8" s="49">
        <v>4661730.128010001</v>
      </c>
      <c r="F8" s="50">
        <v>8.0385172036125552E+16</v>
      </c>
      <c r="H8" t="s">
        <v>41</v>
      </c>
      <c r="I8" t="s">
        <v>42</v>
      </c>
      <c r="J8">
        <v>1</v>
      </c>
      <c r="K8">
        <v>4661730.128010001</v>
      </c>
      <c r="L8">
        <v>8.0385172036125552E+16</v>
      </c>
      <c r="M8">
        <f t="shared" si="0"/>
        <v>60.819219793025148</v>
      </c>
      <c r="N8">
        <f t="shared" si="1"/>
        <v>4661730.128010001</v>
      </c>
      <c r="O8">
        <f t="shared" si="2"/>
        <v>8.0385172036125536E+16</v>
      </c>
    </row>
    <row r="9" spans="2:15" x14ac:dyDescent="0.15">
      <c r="B9" t="s">
        <v>41</v>
      </c>
      <c r="C9" t="s">
        <v>43</v>
      </c>
      <c r="D9">
        <v>1</v>
      </c>
      <c r="E9" s="49">
        <v>2343484.1482100002</v>
      </c>
      <c r="F9" s="50">
        <v>2.7156433945833536E+16</v>
      </c>
      <c r="H9" t="s">
        <v>41</v>
      </c>
      <c r="I9" t="s">
        <v>43</v>
      </c>
      <c r="J9">
        <v>1</v>
      </c>
      <c r="K9">
        <v>2343484.1482100002</v>
      </c>
      <c r="L9">
        <v>2.7156433945833536E+16</v>
      </c>
      <c r="M9">
        <f t="shared" si="0"/>
        <v>70.319269374384902</v>
      </c>
      <c r="N9">
        <f t="shared" si="1"/>
        <v>2343484.1482100002</v>
      </c>
      <c r="O9">
        <f t="shared" si="2"/>
        <v>2.715643394583354E+16</v>
      </c>
    </row>
    <row r="10" spans="2:15" x14ac:dyDescent="0.15">
      <c r="B10" t="s">
        <v>41</v>
      </c>
      <c r="C10" t="s">
        <v>44</v>
      </c>
      <c r="D10">
        <v>1</v>
      </c>
      <c r="E10" s="49">
        <v>3482918.0599000002</v>
      </c>
      <c r="F10" s="50">
        <v>4.0030360485647728E+16</v>
      </c>
      <c r="H10" t="s">
        <v>41</v>
      </c>
      <c r="I10" t="s">
        <v>44</v>
      </c>
      <c r="J10">
        <v>1</v>
      </c>
      <c r="K10">
        <v>3482918.0599000002</v>
      </c>
      <c r="L10">
        <v>4.0030360485647728E+16</v>
      </c>
      <c r="M10">
        <f t="shared" si="0"/>
        <v>57.444902055158103</v>
      </c>
      <c r="N10">
        <f t="shared" si="1"/>
        <v>3482918.0599000002</v>
      </c>
      <c r="O10">
        <f t="shared" si="2"/>
        <v>4.0030360485647728E+16</v>
      </c>
    </row>
    <row r="11" spans="2:15" x14ac:dyDescent="0.15">
      <c r="B11" t="s">
        <v>41</v>
      </c>
      <c r="C11" t="s">
        <v>45</v>
      </c>
      <c r="D11">
        <v>1</v>
      </c>
      <c r="E11" s="49">
        <v>4753286.5165600004</v>
      </c>
      <c r="F11" s="50">
        <v>8.0279500200721568E+16</v>
      </c>
      <c r="H11" t="s">
        <v>41</v>
      </c>
      <c r="I11" t="s">
        <v>45</v>
      </c>
      <c r="J11">
        <v>1</v>
      </c>
      <c r="K11">
        <v>4753286.5165600004</v>
      </c>
      <c r="L11">
        <v>8.0279500200721568E+16</v>
      </c>
      <c r="M11">
        <f t="shared" si="0"/>
        <v>59.608519684183378</v>
      </c>
      <c r="N11">
        <f t="shared" si="1"/>
        <v>4753286.5165600004</v>
      </c>
      <c r="O11">
        <f t="shared" si="2"/>
        <v>8.0279500200721568E+16</v>
      </c>
    </row>
    <row r="14" spans="2:15" x14ac:dyDescent="0.15">
      <c r="I14" s="5" t="s">
        <v>164</v>
      </c>
      <c r="J14" s="5" t="s">
        <v>165</v>
      </c>
    </row>
    <row r="15" spans="2:15" x14ac:dyDescent="0.15">
      <c r="H15" s="5" t="s">
        <v>160</v>
      </c>
      <c r="I15" s="50">
        <f>SUM(N7:N11)/SUM(J7:J11)</f>
        <v>3745846.0492180004</v>
      </c>
      <c r="J15" s="50">
        <f>SQRT(SUM(O7:O11))/I15</f>
        <v>140.52491800671879</v>
      </c>
    </row>
    <row r="16" spans="2:15" x14ac:dyDescent="0.15">
      <c r="H16" s="5" t="s">
        <v>48</v>
      </c>
      <c r="I16" s="50" cm="1">
        <f t="array" ref="I16">SUM(N4:N5/SUM(J4:J5))</f>
        <v>2818068.7197400001</v>
      </c>
      <c r="J16" s="50">
        <f>SQRT(SUM(O4:O5))/I16</f>
        <v>112.83627826096478</v>
      </c>
    </row>
    <row r="17" spans="8:10" x14ac:dyDescent="0.15">
      <c r="H17" s="5" t="s">
        <v>161</v>
      </c>
      <c r="I17" s="50">
        <f>I15-I16</f>
        <v>927777.32947800029</v>
      </c>
      <c r="J17" s="50">
        <f>SQRT((I15*J15)^2+(I16*J16)^2)/I17</f>
        <v>662.84599323529676</v>
      </c>
    </row>
    <row r="20" spans="8:10" x14ac:dyDescent="0.15">
      <c r="I20" s="37">
        <v>927777.32947800029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kae7f6409c1a45b5af70ba169c41da0e xmlns="82302deb-32b0-442b-bedc-ba64a9aa8ccd">
      <Terms xmlns="http://schemas.microsoft.com/office/infopath/2007/PartnerControls"/>
    </kae7f6409c1a45b5af70ba169c41da0e>
    <REDD_x002f_NFM_x0020_category xmlns="cc7ce8ca-8f52-44ec-9496-3c41d0f5ad18" xsi:nil="true"/>
    <TaxKeywordTaxHTField xmlns="cc7ce8ca-8f52-44ec-9496-3c41d0f5ad18">
      <Terms xmlns="http://schemas.microsoft.com/office/infopath/2007/PartnerControls"/>
    </TaxKeywordTaxHTField>
    <lcf76f155ced4ddcb4097134ff3c332f xmlns="82302deb-32b0-442b-bedc-ba64a9aa8ccd">
      <Terms xmlns="http://schemas.microsoft.com/office/infopath/2007/PartnerControls"/>
    </lcf76f155ced4ddcb4097134ff3c332f>
    <TaxCatchAll xmlns="cc7ce8ca-8f52-44ec-9496-3c41d0f5ad1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082C08FD3D0614AAB94B75C024070A7" ma:contentTypeVersion="29" ma:contentTypeDescription="Create a new document." ma:contentTypeScope="" ma:versionID="9b29f169df300b8b2981d74b0081413f">
  <xsd:schema xmlns:xsd="http://www.w3.org/2001/XMLSchema" xmlns:xs="http://www.w3.org/2001/XMLSchema" xmlns:p="http://schemas.microsoft.com/office/2006/metadata/properties" xmlns:ns2="82302deb-32b0-442b-bedc-ba64a9aa8ccd" xmlns:ns3="cc7ce8ca-8f52-44ec-9496-3c41d0f5ad18" targetNamespace="http://schemas.microsoft.com/office/2006/metadata/properties" ma:root="true" ma:fieldsID="c2fbaf1ae978ca53b8e54b151e621d95" ns2:_="" ns3:_="">
    <xsd:import namespace="82302deb-32b0-442b-bedc-ba64a9aa8ccd"/>
    <xsd:import namespace="cc7ce8ca-8f52-44ec-9496-3c41d0f5ad1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3:REDD_x002f_NFM_x0020_category" minOccurs="0"/>
                <xsd:element ref="ns3:TaxCatchAll" minOccurs="0"/>
                <xsd:element ref="ns3:TaxKeywordTaxHTField" minOccurs="0"/>
                <xsd:element ref="ns2:MediaLengthInSeconds" minOccurs="0"/>
                <xsd:element ref="ns2:lcf76f155ced4ddcb4097134ff3c332f" minOccurs="0"/>
                <xsd:element ref="ns2:MediaServiceObjectDetectorVersions" minOccurs="0"/>
                <xsd:element ref="ns2:MediaServiceSearchProperties" minOccurs="0"/>
                <xsd:element ref="ns2:kae7f6409c1a45b5af70ba169c41da0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302deb-32b0-442b-bedc-ba64a9aa8c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4"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kae7f6409c1a45b5af70ba169c41da0e" ma:index="30" nillable="true" ma:taxonomy="true" ma:internalName="kae7f6409c1a45b5af70ba169c41da0e" ma:taxonomyFieldName="Weight" ma:displayName="Weight" ma:default="" ma:fieldId="{4ae7f640-9c1a-45b5-af70-ba169c41da0e}" ma:sspId="f40eee1e-ad38-437e-be40-fc9f033adc9a" ma:termSetId="87d46d98-46dd-4ca0-8638-769b191599cd" ma:anchorId="00000000-0000-0000-0000-000000000000" ma:open="true" ma:isKeyword="false">
      <xsd:complexType>
        <xsd:sequence>
          <xsd:element ref="pc:Terms" minOccurs="0" maxOccurs="1"/>
        </xsd:sequence>
      </xsd:complexType>
    </xsd:element>
    <xsd:element name="MediaServiceBillingMetadata" ma:index="3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7ce8ca-8f52-44ec-9496-3c41d0f5ad18"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REDD_x002f_NFM_x0020_category" ma:index="20" nillable="true" ma:displayName="REDD/NFM category" ma:list="{47579d77-2321-40b5-9ad4-2d6d6ce9c501}" ma:internalName="REDD_x002F_NFM_x0020_category" ma:showField="Title" ma:web="cc7ce8ca-8f52-44ec-9496-3c41d0f5ad18">
      <xsd:complexType>
        <xsd:complexContent>
          <xsd:extension base="dms:MultiChoiceLookup">
            <xsd:sequence>
              <xsd:element name="Value" type="dms:Lookup" maxOccurs="unbounded" minOccurs="0" nillable="true"/>
            </xsd:sequence>
          </xsd:extension>
        </xsd:complexContent>
      </xsd:complexType>
    </xsd:element>
    <xsd:element name="TaxCatchAll" ma:index="21" nillable="true" ma:displayName="Taxonomy Catch All Column" ma:hidden="true" ma:list="{dda2a781-49f9-4958-8522-b106e211dbae}" ma:internalName="TaxCatchAll" ma:showField="CatchAllData" ma:web="cc7ce8ca-8f52-44ec-9496-3c41d0f5ad18">
      <xsd:complexType>
        <xsd:complexContent>
          <xsd:extension base="dms:MultiChoiceLookup">
            <xsd:sequence>
              <xsd:element name="Value" type="dms:Lookup" maxOccurs="unbounded" minOccurs="0" nillable="true"/>
            </xsd:sequence>
          </xsd:extension>
        </xsd:complexContent>
      </xsd:complexType>
    </xsd:element>
    <xsd:element name="TaxKeywordTaxHTField" ma:index="22" nillable="true" ma:taxonomy="true" ma:internalName="TaxKeywordTaxHTField" ma:taxonomyFieldName="TaxKeyword" ma:displayName="Enterprise Keywords" ma:fieldId="{23f27201-bee3-471e-b2e7-b64fd8b7ca38}" ma:taxonomyMulti="true" ma:sspId="f40eee1e-ad38-437e-be40-fc9f033adc9a" ma:termSetId="00000000-0000-0000-0000-000000000000" ma:anchorId="00000000-0000-0000-0000-000000000000" ma:open="true" ma:isKeyword="tru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C22356F-AD67-4305-98D2-7F3132E3988B}">
  <ds:schemaRefs>
    <ds:schemaRef ds:uri="http://schemas.microsoft.com/sharepoint/v3/contenttype/forms"/>
  </ds:schemaRefs>
</ds:datastoreItem>
</file>

<file path=customXml/itemProps2.xml><?xml version="1.0" encoding="utf-8"?>
<ds:datastoreItem xmlns:ds="http://schemas.openxmlformats.org/officeDocument/2006/customXml" ds:itemID="{5867863F-1726-4766-90FA-76F48859C53D}">
  <ds:schemaRefs>
    <ds:schemaRef ds:uri="http://schemas.microsoft.com/office/2006/metadata/properties"/>
    <ds:schemaRef ds:uri="http://schemas.microsoft.com/office/infopath/2007/PartnerControls"/>
    <ds:schemaRef ds:uri="82302deb-32b0-442b-bedc-ba64a9aa8ccd"/>
    <ds:schemaRef ds:uri="cc7ce8ca-8f52-44ec-9496-3c41d0f5ad18"/>
  </ds:schemaRefs>
</ds:datastoreItem>
</file>

<file path=customXml/itemProps3.xml><?xml version="1.0" encoding="utf-8"?>
<ds:datastoreItem xmlns:ds="http://schemas.openxmlformats.org/officeDocument/2006/customXml" ds:itemID="{632E3449-681E-48EC-89A9-004DF5548F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302deb-32b0-442b-bedc-ba64a9aa8ccd"/>
    <ds:schemaRef ds:uri="cc7ce8ca-8f52-44ec-9496-3c41d0f5ad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Instructions</vt:lpstr>
      <vt:lpstr>user_input_details</vt:lpstr>
      <vt:lpstr>setup</vt:lpstr>
      <vt:lpstr>time</vt:lpstr>
      <vt:lpstr>area</vt:lpstr>
      <vt:lpstr>carbon</vt:lpstr>
      <vt:lpstr>LU CLASS</vt:lpstr>
      <vt:lpstr>pivot-prepa EFRF</vt:lpstr>
      <vt:lpstr>CALC EFRF</vt:lpstr>
      <vt:lpstr>CALC E</vt:lpstr>
      <vt:lpstr>CALC ERRs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Kaluuba, Enock (FAOUG)</dc:creator>
  <cp:keywords/>
  <dc:description/>
  <cp:lastModifiedBy>Sola, Gael (NFOM)</cp:lastModifiedBy>
  <cp:revision/>
  <dcterms:created xsi:type="dcterms:W3CDTF">2024-12-16T16:11:00Z</dcterms:created>
  <dcterms:modified xsi:type="dcterms:W3CDTF">2026-09-24T01:27:23Z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6766B0EF1ABC0E345B183969069FEEF0_43</vt:lpwstr>
  </property>
  <property fmtid="{D5CDD505-2E9C-101B-9397-08002B2CF9AE}" pid="3" name="KSOProductBuildVer">
    <vt:lpwstr>1033-6.12.1.8654</vt:lpwstr>
  </property>
  <property fmtid="{D5CDD505-2E9C-101B-9397-08002B2CF9AE}" pid="4" name="ContentTypeId">
    <vt:lpwstr>0x0101003082C08FD3D0614AAB94B75C024070A7</vt:lpwstr>
  </property>
  <property fmtid="{D5CDD505-2E9C-101B-9397-08002B2CF9AE}" pid="5" name="TaxKeyword">
    <vt:lpwstr/>
  </property>
</Properties>
</file>